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8\"/>
    </mc:Choice>
  </mc:AlternateContent>
  <xr:revisionPtr revIDLastSave="0" documentId="13_ncr:1_{012AA562-4302-40C3-AD54-31A77A361B04}" xr6:coauthVersionLast="47" xr6:coauthVersionMax="47" xr10:uidLastSave="{00000000-0000-0000-0000-000000000000}"/>
  <bookViews>
    <workbookView xWindow="-108" yWindow="-108" windowWidth="23256" windowHeight="12456" activeTab="1" xr2:uid="{ABC950CF-AC7F-424F-8FB8-85E580C202C0}"/>
  </bookViews>
  <sheets>
    <sheet name="Solution" sheetId="1" r:id="rId1"/>
    <sheet name="Studen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2" i="2"/>
  <c r="H2" i="2" a="1"/>
  <c r="H2" i="2" s="1"/>
  <c r="H3" i="2" a="1"/>
  <c r="H3" i="2" s="1"/>
  <c r="H4" i="2" a="1"/>
  <c r="H4" i="2" s="1"/>
  <c r="H5" i="2" a="1"/>
  <c r="H5" i="2" s="1"/>
  <c r="H110" i="2" a="1"/>
  <c r="H110" i="2" s="1"/>
  <c r="H238" i="2" a="1"/>
  <c r="H238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239" i="2" a="1"/>
  <c r="H239" i="2" s="1"/>
  <c r="H240" i="2" a="1"/>
  <c r="H240" i="2" s="1"/>
  <c r="H6" i="2" a="1"/>
  <c r="H6" i="2" s="1"/>
  <c r="H116" i="2" a="1"/>
  <c r="H116" i="2" s="1"/>
  <c r="H7" i="2" a="1"/>
  <c r="H7" i="2" s="1"/>
  <c r="H117" i="2" a="1"/>
  <c r="H117" i="2" s="1"/>
  <c r="H118" i="2" a="1"/>
  <c r="H118" i="2" s="1"/>
  <c r="H241" i="2" a="1"/>
  <c r="H241" i="2" s="1"/>
  <c r="H242" i="2" a="1"/>
  <c r="H242" i="2" s="1"/>
  <c r="H243" i="2" a="1"/>
  <c r="H243" i="2" s="1"/>
  <c r="H8" i="2" a="1"/>
  <c r="H8" i="2" s="1"/>
  <c r="H9" i="2" a="1"/>
  <c r="H9" i="2" s="1"/>
  <c r="H10" i="2" a="1"/>
  <c r="H10" i="2" s="1"/>
  <c r="H119" i="2" a="1"/>
  <c r="H119" i="2" s="1"/>
  <c r="H120" i="2" a="1"/>
  <c r="H120" i="2" s="1"/>
  <c r="H244" i="2" a="1"/>
  <c r="H244" i="2" s="1"/>
  <c r="H121" i="2" a="1"/>
  <c r="H121" i="2" s="1"/>
  <c r="H245" i="2" a="1"/>
  <c r="H245" i="2" s="1"/>
  <c r="H246" i="2" a="1"/>
  <c r="H246" i="2" s="1"/>
  <c r="H247" i="2" a="1"/>
  <c r="H247" i="2" s="1"/>
  <c r="H248" i="2" a="1"/>
  <c r="H248" i="2" s="1"/>
  <c r="H122" i="2" a="1"/>
  <c r="H122" i="2" s="1"/>
  <c r="H123" i="2" a="1"/>
  <c r="H123" i="2" s="1"/>
  <c r="H249" i="2" a="1"/>
  <c r="H249" i="2" s="1"/>
  <c r="H250" i="2" a="1"/>
  <c r="H250" i="2" s="1"/>
  <c r="H251" i="2" a="1"/>
  <c r="H251" i="2" s="1"/>
  <c r="H11" i="2" a="1"/>
  <c r="H11" i="2" s="1"/>
  <c r="H12" i="2" a="1"/>
  <c r="H12" i="2" s="1"/>
  <c r="H252" i="2" a="1"/>
  <c r="H252" i="2" s="1"/>
  <c r="H124" i="2" a="1"/>
  <c r="H124" i="2" s="1"/>
  <c r="H125" i="2" a="1"/>
  <c r="H125" i="2" s="1"/>
  <c r="H13" i="2" a="1"/>
  <c r="H13" i="2" s="1"/>
  <c r="H253" i="2" a="1"/>
  <c r="H253" i="2" s="1"/>
  <c r="H14" i="2" a="1"/>
  <c r="H14" i="2" s="1"/>
  <c r="H126" i="2" a="1"/>
  <c r="H126" i="2" s="1"/>
  <c r="H15" i="2" a="1"/>
  <c r="H15" i="2" s="1"/>
  <c r="H127" i="2" a="1"/>
  <c r="H127" i="2" s="1"/>
  <c r="H254" i="2" a="1"/>
  <c r="H254" i="2" s="1"/>
  <c r="H16" i="2" a="1"/>
  <c r="H16" i="2" s="1"/>
  <c r="H17" i="2" a="1"/>
  <c r="H17" i="2" s="1"/>
  <c r="H128" i="2" a="1"/>
  <c r="H128" i="2" s="1"/>
  <c r="H18" i="2" a="1"/>
  <c r="H18" i="2" s="1"/>
  <c r="H255" i="2" a="1"/>
  <c r="H255" i="2" s="1"/>
  <c r="H19" i="2" a="1"/>
  <c r="H19" i="2" s="1"/>
  <c r="H129" i="2" a="1"/>
  <c r="H129" i="2" s="1"/>
  <c r="H256" i="2" a="1"/>
  <c r="H256" i="2" s="1"/>
  <c r="H130" i="2" a="1"/>
  <c r="H130" i="2" s="1"/>
  <c r="H257" i="2" a="1"/>
  <c r="H257" i="2" s="1"/>
  <c r="H20" i="2" a="1"/>
  <c r="H20" i="2" s="1"/>
  <c r="H131" i="2" a="1"/>
  <c r="H131" i="2" s="1"/>
  <c r="H132" i="2" a="1"/>
  <c r="H132" i="2" s="1"/>
  <c r="H21" i="2" a="1"/>
  <c r="H21" i="2" s="1"/>
  <c r="H22" i="2" a="1"/>
  <c r="H22" i="2" s="1"/>
  <c r="H258" i="2" a="1"/>
  <c r="H258" i="2" s="1"/>
  <c r="H133" i="2" a="1"/>
  <c r="H133" i="2" s="1"/>
  <c r="H23" i="2" a="1"/>
  <c r="H23" i="2" s="1"/>
  <c r="H134" i="2" a="1"/>
  <c r="H134" i="2" s="1"/>
  <c r="H24" i="2" a="1"/>
  <c r="H24" i="2" s="1"/>
  <c r="H135" i="2" a="1"/>
  <c r="H135" i="2" s="1"/>
  <c r="H25" i="2" a="1"/>
  <c r="H25" i="2" s="1"/>
  <c r="H136" i="2" a="1"/>
  <c r="H136" i="2" s="1"/>
  <c r="H259" i="2" a="1"/>
  <c r="H259" i="2" s="1"/>
  <c r="H260" i="2" a="1"/>
  <c r="H260" i="2" s="1"/>
  <c r="H26" i="2" a="1"/>
  <c r="H26" i="2" s="1"/>
  <c r="H137" i="2" a="1"/>
  <c r="H137" i="2" s="1"/>
  <c r="H261" i="2" a="1"/>
  <c r="H261" i="2" s="1"/>
  <c r="H138" i="2" a="1"/>
  <c r="H138" i="2" s="1"/>
  <c r="H262" i="2" a="1"/>
  <c r="H262" i="2" s="1"/>
  <c r="H263" i="2" a="1"/>
  <c r="H263" i="2" s="1"/>
  <c r="H139" i="2" a="1"/>
  <c r="H139" i="2" s="1"/>
  <c r="H140" i="2" a="1"/>
  <c r="H140" i="2" s="1"/>
  <c r="H141" i="2" a="1"/>
  <c r="H141" i="2" s="1"/>
  <c r="H142" i="2" a="1"/>
  <c r="H142" i="2" s="1"/>
  <c r="H264" i="2" a="1"/>
  <c r="H264" i="2" s="1"/>
  <c r="H143" i="2" a="1"/>
  <c r="H143" i="2" s="1"/>
  <c r="H144" i="2" a="1"/>
  <c r="H144" i="2" s="1"/>
  <c r="H265" i="2" a="1"/>
  <c r="H265" i="2" s="1"/>
  <c r="H27" i="2" a="1"/>
  <c r="H27" i="2" s="1"/>
  <c r="H266" i="2" a="1"/>
  <c r="H266" i="2" s="1"/>
  <c r="H145" i="2" a="1"/>
  <c r="H145" i="2" s="1"/>
  <c r="H267" i="2" a="1"/>
  <c r="H267" i="2" s="1"/>
  <c r="H146" i="2" a="1"/>
  <c r="H146" i="2" s="1"/>
  <c r="H28" i="2" a="1"/>
  <c r="H28" i="2" s="1"/>
  <c r="H29" i="2" a="1"/>
  <c r="H29" i="2" s="1"/>
  <c r="H268" i="2" a="1"/>
  <c r="H268" i="2" s="1"/>
  <c r="H147" i="2" a="1"/>
  <c r="H147" i="2" s="1"/>
  <c r="H269" i="2" a="1"/>
  <c r="H269" i="2" s="1"/>
  <c r="H148" i="2" a="1"/>
  <c r="H148" i="2" s="1"/>
  <c r="H30" i="2" a="1"/>
  <c r="H30" i="2" s="1"/>
  <c r="H149" i="2" a="1"/>
  <c r="H149" i="2" s="1"/>
  <c r="H31" i="2" a="1"/>
  <c r="H31" i="2" s="1"/>
  <c r="H32" i="2" a="1"/>
  <c r="H32" i="2" s="1"/>
  <c r="H150" i="2" a="1"/>
  <c r="H150" i="2" s="1"/>
  <c r="H270" i="2" a="1"/>
  <c r="H270" i="2" s="1"/>
  <c r="H151" i="2" a="1"/>
  <c r="H151" i="2" s="1"/>
  <c r="H152" i="2" a="1"/>
  <c r="H152" i="2" s="1"/>
  <c r="H33" i="2" a="1"/>
  <c r="H33" i="2" s="1"/>
  <c r="H271" i="2" a="1"/>
  <c r="H271" i="2" s="1"/>
  <c r="H153" i="2" a="1"/>
  <c r="H153" i="2" s="1"/>
  <c r="H154" i="2" a="1"/>
  <c r="H154" i="2" s="1"/>
  <c r="H272" i="2" a="1"/>
  <c r="H272" i="2" s="1"/>
  <c r="H34" i="2" a="1"/>
  <c r="H34" i="2" s="1"/>
  <c r="H273" i="2" a="1"/>
  <c r="H273" i="2" s="1"/>
  <c r="H155" i="2" a="1"/>
  <c r="H155" i="2" s="1"/>
  <c r="H274" i="2" a="1"/>
  <c r="H274" i="2" s="1"/>
  <c r="H35" i="2" a="1"/>
  <c r="H35" i="2" s="1"/>
  <c r="H36" i="2" a="1"/>
  <c r="H36" i="2" s="1"/>
  <c r="H37" i="2" a="1"/>
  <c r="H37" i="2" s="1"/>
  <c r="H156" i="2" a="1"/>
  <c r="H156" i="2" s="1"/>
  <c r="H38" i="2" a="1"/>
  <c r="H38" i="2" s="1"/>
  <c r="H39" i="2" a="1"/>
  <c r="H39" i="2" s="1"/>
  <c r="H157" i="2" a="1"/>
  <c r="H157" i="2" s="1"/>
  <c r="H275" i="2" a="1"/>
  <c r="H275" i="2" s="1"/>
  <c r="H276" i="2" a="1"/>
  <c r="H276" i="2" s="1"/>
  <c r="H40" i="2" a="1"/>
  <c r="H40" i="2" s="1"/>
  <c r="H41" i="2" a="1"/>
  <c r="H41" i="2" s="1"/>
  <c r="H158" i="2" a="1"/>
  <c r="H158" i="2" s="1"/>
  <c r="H42" i="2" a="1"/>
  <c r="H42" i="2" s="1"/>
  <c r="H277" i="2" a="1"/>
  <c r="H277" i="2" s="1"/>
  <c r="H43" i="2" a="1"/>
  <c r="H43" i="2" s="1"/>
  <c r="H44" i="2" a="1"/>
  <c r="H44" i="2" s="1"/>
  <c r="H159" i="2" a="1"/>
  <c r="H159" i="2" s="1"/>
  <c r="H45" i="2" a="1"/>
  <c r="H45" i="2" s="1"/>
  <c r="H278" i="2" a="1"/>
  <c r="H278" i="2" s="1"/>
  <c r="H46" i="2" a="1"/>
  <c r="H46" i="2" s="1"/>
  <c r="H47" i="2" a="1"/>
  <c r="H47" i="2" s="1"/>
  <c r="H279" i="2" a="1"/>
  <c r="H279" i="2" s="1"/>
  <c r="H48" i="2" a="1"/>
  <c r="H48" i="2" s="1"/>
  <c r="H160" i="2" a="1"/>
  <c r="H160" i="2" s="1"/>
  <c r="H161" i="2" a="1"/>
  <c r="H161" i="2" s="1"/>
  <c r="H49" i="2" a="1"/>
  <c r="H49" i="2" s="1"/>
  <c r="H50" i="2" a="1"/>
  <c r="H50" i="2" s="1"/>
  <c r="H51" i="2" a="1"/>
  <c r="H51" i="2" s="1"/>
  <c r="H162" i="2" a="1"/>
  <c r="H162" i="2" s="1"/>
  <c r="H280" i="2" a="1"/>
  <c r="H280" i="2" s="1"/>
  <c r="H281" i="2" a="1"/>
  <c r="H281" i="2" s="1"/>
  <c r="H163" i="2" a="1"/>
  <c r="H163" i="2" s="1"/>
  <c r="H164" i="2" a="1"/>
  <c r="H164" i="2" s="1"/>
  <c r="H165" i="2" a="1"/>
  <c r="H165" i="2" s="1"/>
  <c r="H282" i="2" a="1"/>
  <c r="H282" i="2" s="1"/>
  <c r="H283" i="2" a="1"/>
  <c r="H283" i="2" s="1"/>
  <c r="H52" i="2" a="1"/>
  <c r="H52" i="2" s="1"/>
  <c r="H284" i="2" a="1"/>
  <c r="H284" i="2" s="1"/>
  <c r="H285" i="2" a="1"/>
  <c r="H285" i="2" s="1"/>
  <c r="H53" i="2" a="1"/>
  <c r="H53" i="2" s="1"/>
  <c r="H286" i="2" a="1"/>
  <c r="H286" i="2" s="1"/>
  <c r="H287" i="2" a="1"/>
  <c r="H287" i="2" s="1"/>
  <c r="H166" i="2" a="1"/>
  <c r="H166" i="2" s="1"/>
  <c r="H288" i="2" a="1"/>
  <c r="H288" i="2" s="1"/>
  <c r="H289" i="2" a="1"/>
  <c r="H289" i="2" s="1"/>
  <c r="H54" i="2" a="1"/>
  <c r="H54" i="2" s="1"/>
  <c r="H55" i="2" a="1"/>
  <c r="H55" i="2" s="1"/>
  <c r="H290" i="2" a="1"/>
  <c r="H290" i="2" s="1"/>
  <c r="H167" i="2" a="1"/>
  <c r="H167" i="2" s="1"/>
  <c r="H291" i="2" a="1"/>
  <c r="H291" i="2" s="1"/>
  <c r="H292" i="2" a="1"/>
  <c r="H292" i="2" s="1"/>
  <c r="H56" i="2" a="1"/>
  <c r="H56" i="2" s="1"/>
  <c r="H168" i="2" a="1"/>
  <c r="H168" i="2" s="1"/>
  <c r="H293" i="2" a="1"/>
  <c r="H293" i="2" s="1"/>
  <c r="H57" i="2" a="1"/>
  <c r="H57" i="2" s="1"/>
  <c r="H294" i="2" a="1"/>
  <c r="H294" i="2" s="1"/>
  <c r="H58" i="2" a="1"/>
  <c r="H58" i="2" s="1"/>
  <c r="H295" i="2" a="1"/>
  <c r="H295" i="2" s="1"/>
  <c r="H169" i="2" a="1"/>
  <c r="H169" i="2" s="1"/>
  <c r="H59" i="2" a="1"/>
  <c r="H59" i="2" s="1"/>
  <c r="H296" i="2" a="1"/>
  <c r="H296" i="2" s="1"/>
  <c r="H170" i="2" a="1"/>
  <c r="H170" i="2" s="1"/>
  <c r="H297" i="2" a="1"/>
  <c r="H297" i="2" s="1"/>
  <c r="H298" i="2" a="1"/>
  <c r="H298" i="2" s="1"/>
  <c r="H299" i="2" a="1"/>
  <c r="H299" i="2" s="1"/>
  <c r="H60" i="2" a="1"/>
  <c r="H60" i="2" s="1"/>
  <c r="H171" i="2" a="1"/>
  <c r="H171" i="2" s="1"/>
  <c r="H61" i="2" a="1"/>
  <c r="H61" i="2" s="1"/>
  <c r="H172" i="2" a="1"/>
  <c r="H172" i="2" s="1"/>
  <c r="H300" i="2" a="1"/>
  <c r="H300" i="2" s="1"/>
  <c r="H173" i="2" a="1"/>
  <c r="H173" i="2" s="1"/>
  <c r="H301" i="2" a="1"/>
  <c r="H301" i="2" s="1"/>
  <c r="H302" i="2" a="1"/>
  <c r="H302" i="2" s="1"/>
  <c r="H174" i="2" a="1"/>
  <c r="H174" i="2" s="1"/>
  <c r="H62" i="2" a="1"/>
  <c r="H62" i="2" s="1"/>
  <c r="H175" i="2" a="1"/>
  <c r="H175" i="2" s="1"/>
  <c r="H63" i="2" a="1"/>
  <c r="H63" i="2" s="1"/>
  <c r="H176" i="2" a="1"/>
  <c r="H176" i="2" s="1"/>
  <c r="H303" i="2" a="1"/>
  <c r="H303" i="2" s="1"/>
  <c r="H177" i="2" a="1"/>
  <c r="H177" i="2" s="1"/>
  <c r="H64" i="2" a="1"/>
  <c r="H64" i="2" s="1"/>
  <c r="H304" i="2" a="1"/>
  <c r="H304" i="2" s="1"/>
  <c r="H178" i="2" a="1"/>
  <c r="H178" i="2" s="1"/>
  <c r="H305" i="2" a="1"/>
  <c r="H305" i="2" s="1"/>
  <c r="H306" i="2" a="1"/>
  <c r="H306" i="2" s="1"/>
  <c r="H307" i="2" a="1"/>
  <c r="H307" i="2" s="1"/>
  <c r="H308" i="2" a="1"/>
  <c r="H308" i="2" s="1"/>
  <c r="H309" i="2" a="1"/>
  <c r="H309" i="2" s="1"/>
  <c r="H179" i="2" a="1"/>
  <c r="H179" i="2" s="1"/>
  <c r="H180" i="2" a="1"/>
  <c r="H180" i="2" s="1"/>
  <c r="H310" i="2" a="1"/>
  <c r="H310" i="2" s="1"/>
  <c r="H311" i="2" a="1"/>
  <c r="H311" i="2" s="1"/>
  <c r="H181" i="2" a="1"/>
  <c r="H181" i="2" s="1"/>
  <c r="H65" i="2" a="1"/>
  <c r="H65" i="2" s="1"/>
  <c r="H66" i="2" a="1"/>
  <c r="H66" i="2" s="1"/>
  <c r="H312" i="2" a="1"/>
  <c r="H312" i="2" s="1"/>
  <c r="H67" i="2" a="1"/>
  <c r="H67" i="2" s="1"/>
  <c r="H313" i="2" a="1"/>
  <c r="H313" i="2" s="1"/>
  <c r="H182" i="2" a="1"/>
  <c r="H182" i="2" s="1"/>
  <c r="H183" i="2" a="1"/>
  <c r="H183" i="2" s="1"/>
  <c r="H314" i="2" a="1"/>
  <c r="H314" i="2" s="1"/>
  <c r="H68" i="2" a="1"/>
  <c r="H68" i="2" s="1"/>
  <c r="H315" i="2" a="1"/>
  <c r="H315" i="2" s="1"/>
  <c r="H69" i="2" a="1"/>
  <c r="H69" i="2" s="1"/>
  <c r="H70" i="2" a="1"/>
  <c r="H70" i="2" s="1"/>
  <c r="H184" i="2" a="1"/>
  <c r="H184" i="2" s="1"/>
  <c r="H185" i="2" a="1"/>
  <c r="H185" i="2" s="1"/>
  <c r="H316" i="2" a="1"/>
  <c r="H316" i="2" s="1"/>
  <c r="H186" i="2" a="1"/>
  <c r="H186" i="2" s="1"/>
  <c r="H71" i="2" a="1"/>
  <c r="H71" i="2" s="1"/>
  <c r="H317" i="2" a="1"/>
  <c r="H317" i="2" s="1"/>
  <c r="H318" i="2" a="1"/>
  <c r="H318" i="2" s="1"/>
  <c r="H187" i="2" a="1"/>
  <c r="H187" i="2" s="1"/>
  <c r="H188" i="2" a="1"/>
  <c r="H188" i="2" s="1"/>
  <c r="H189" i="2" a="1"/>
  <c r="H189" i="2" s="1"/>
  <c r="H319" i="2" a="1"/>
  <c r="H319" i="2" s="1"/>
  <c r="H320" i="2" a="1"/>
  <c r="H320" i="2" s="1"/>
  <c r="H72" i="2" a="1"/>
  <c r="H72" i="2" s="1"/>
  <c r="H73" i="2" a="1"/>
  <c r="H73" i="2" s="1"/>
  <c r="H321" i="2" a="1"/>
  <c r="H321" i="2" s="1"/>
  <c r="H74" i="2" a="1"/>
  <c r="H74" i="2" s="1"/>
  <c r="H190" i="2" a="1"/>
  <c r="H190" i="2" s="1"/>
  <c r="H191" i="2" a="1"/>
  <c r="H191" i="2" s="1"/>
  <c r="H322" i="2" a="1"/>
  <c r="H322" i="2" s="1"/>
  <c r="H75" i="2" a="1"/>
  <c r="H75" i="2" s="1"/>
  <c r="H76" i="2" a="1"/>
  <c r="H76" i="2" s="1"/>
  <c r="H323" i="2" a="1"/>
  <c r="H323" i="2" s="1"/>
  <c r="H192" i="2" a="1"/>
  <c r="H192" i="2" s="1"/>
  <c r="H193" i="2" a="1"/>
  <c r="H193" i="2" s="1"/>
  <c r="H194" i="2" a="1"/>
  <c r="H194" i="2" s="1"/>
  <c r="H77" i="2" a="1"/>
  <c r="H77" i="2" s="1"/>
  <c r="H195" i="2" a="1"/>
  <c r="H195" i="2" s="1"/>
  <c r="H324" i="2" a="1"/>
  <c r="H324" i="2" s="1"/>
  <c r="H78" i="2" a="1"/>
  <c r="H78" i="2" s="1"/>
  <c r="H196" i="2" a="1"/>
  <c r="H196" i="2" s="1"/>
  <c r="H197" i="2" a="1"/>
  <c r="H197" i="2" s="1"/>
  <c r="H325" i="2" a="1"/>
  <c r="H325" i="2" s="1"/>
  <c r="H198" i="2" a="1"/>
  <c r="H198" i="2" s="1"/>
  <c r="H79" i="2" a="1"/>
  <c r="H79" i="2" s="1"/>
  <c r="H326" i="2" a="1"/>
  <c r="H326" i="2" s="1"/>
  <c r="H80" i="2" a="1"/>
  <c r="H80" i="2" s="1"/>
  <c r="H327" i="2" a="1"/>
  <c r="H327" i="2" s="1"/>
  <c r="H199" i="2" a="1"/>
  <c r="H199" i="2" s="1"/>
  <c r="H200" i="2" a="1"/>
  <c r="H200" i="2" s="1"/>
  <c r="H201" i="2" a="1"/>
  <c r="H201" i="2" s="1"/>
  <c r="H328" i="2" a="1"/>
  <c r="H328" i="2" s="1"/>
  <c r="H81" i="2" a="1"/>
  <c r="H81" i="2" s="1"/>
  <c r="H329" i="2" a="1"/>
  <c r="H329" i="2" s="1"/>
  <c r="H330" i="2" a="1"/>
  <c r="H330" i="2" s="1"/>
  <c r="H331" i="2" a="1"/>
  <c r="H331" i="2" s="1"/>
  <c r="H332" i="2" a="1"/>
  <c r="H332" i="2" s="1"/>
  <c r="H82" i="2" a="1"/>
  <c r="H82" i="2" s="1"/>
  <c r="H333" i="2" a="1"/>
  <c r="H333" i="2" s="1"/>
  <c r="H202" i="2" a="1"/>
  <c r="H202" i="2" s="1"/>
  <c r="H203" i="2" a="1"/>
  <c r="H203" i="2" s="1"/>
  <c r="H83" i="2" a="1"/>
  <c r="H83" i="2" s="1"/>
  <c r="H204" i="2" a="1"/>
  <c r="H204" i="2" s="1"/>
  <c r="H334" i="2" a="1"/>
  <c r="H334" i="2" s="1"/>
  <c r="H205" i="2" a="1"/>
  <c r="H205" i="2" s="1"/>
  <c r="H335" i="2" a="1"/>
  <c r="H335" i="2" s="1"/>
  <c r="H336" i="2" a="1"/>
  <c r="H336" i="2" s="1"/>
  <c r="H337" i="2" a="1"/>
  <c r="H337" i="2" s="1"/>
  <c r="H338" i="2" a="1"/>
  <c r="H338" i="2" s="1"/>
  <c r="H206" i="2" a="1"/>
  <c r="H206" i="2" s="1"/>
  <c r="H84" i="2" a="1"/>
  <c r="H84" i="2" s="1"/>
  <c r="H85" i="2" a="1"/>
  <c r="H85" i="2" s="1"/>
  <c r="H339" i="2" a="1"/>
  <c r="H339" i="2" s="1"/>
  <c r="H86" i="2" a="1"/>
  <c r="H86" i="2" s="1"/>
  <c r="H207" i="2" a="1"/>
  <c r="H207" i="2" s="1"/>
  <c r="H208" i="2" a="1"/>
  <c r="H208" i="2" s="1"/>
  <c r="H340" i="2" a="1"/>
  <c r="H340" i="2" s="1"/>
  <c r="H209" i="2" a="1"/>
  <c r="H209" i="2" s="1"/>
  <c r="H210" i="2" a="1"/>
  <c r="H210" i="2" s="1"/>
  <c r="H341" i="2" a="1"/>
  <c r="H341" i="2" s="1"/>
  <c r="H342" i="2" a="1"/>
  <c r="H342" i="2" s="1"/>
  <c r="H211" i="2" a="1"/>
  <c r="H211" i="2" s="1"/>
  <c r="H343" i="2" a="1"/>
  <c r="H343" i="2" s="1"/>
  <c r="H344" i="2" a="1"/>
  <c r="H344" i="2" s="1"/>
  <c r="H212" i="2" a="1"/>
  <c r="H212" i="2" s="1"/>
  <c r="H345" i="2" a="1"/>
  <c r="H345" i="2" s="1"/>
  <c r="H213" i="2" a="1"/>
  <c r="H213" i="2" s="1"/>
  <c r="H214" i="2" a="1"/>
  <c r="H214" i="2" s="1"/>
  <c r="H215" i="2" a="1"/>
  <c r="H215" i="2" s="1"/>
  <c r="H216" i="2" a="1"/>
  <c r="H216" i="2" s="1"/>
  <c r="H346" i="2" a="1"/>
  <c r="H346" i="2" s="1"/>
  <c r="H217" i="2" a="1"/>
  <c r="H217" i="2" s="1"/>
  <c r="H218" i="2" a="1"/>
  <c r="H218" i="2" s="1"/>
  <c r="H87" i="2" a="1"/>
  <c r="H87" i="2" s="1"/>
  <c r="H219" i="2" a="1"/>
  <c r="H219" i="2" s="1"/>
  <c r="H347" i="2" a="1"/>
  <c r="H347" i="2" s="1"/>
  <c r="H348" i="2" a="1"/>
  <c r="H348" i="2" s="1"/>
  <c r="H349" i="2" a="1"/>
  <c r="H349" i="2" s="1"/>
  <c r="H88" i="2" a="1"/>
  <c r="H88" i="2" s="1"/>
  <c r="H89" i="2" a="1"/>
  <c r="H89" i="2" s="1"/>
  <c r="H350" i="2" a="1"/>
  <c r="H350" i="2" s="1"/>
  <c r="H220" i="2" a="1"/>
  <c r="H220" i="2" s="1"/>
  <c r="H351" i="2" a="1"/>
  <c r="H351" i="2" s="1"/>
  <c r="H221" i="2" a="1"/>
  <c r="H221" i="2" s="1"/>
  <c r="H352" i="2" a="1"/>
  <c r="H352" i="2" s="1"/>
  <c r="H222" i="2" a="1"/>
  <c r="H222" i="2" s="1"/>
  <c r="H353" i="2" a="1"/>
  <c r="H353" i="2" s="1"/>
  <c r="H223" i="2" a="1"/>
  <c r="H223" i="2" s="1"/>
  <c r="H224" i="2" a="1"/>
  <c r="H224" i="2" s="1"/>
  <c r="H90" i="2" a="1"/>
  <c r="H90" i="2" s="1"/>
  <c r="H225" i="2" a="1"/>
  <c r="H225" i="2" s="1"/>
  <c r="H91" i="2" a="1"/>
  <c r="H91" i="2" s="1"/>
  <c r="H92" i="2" a="1"/>
  <c r="H92" i="2" s="1"/>
  <c r="H93" i="2" a="1"/>
  <c r="H93" i="2" s="1"/>
  <c r="H226" i="2" a="1"/>
  <c r="H226" i="2" s="1"/>
  <c r="H354" i="2" a="1"/>
  <c r="H354" i="2" s="1"/>
  <c r="H227" i="2" a="1"/>
  <c r="H227" i="2" s="1"/>
  <c r="H228" i="2" a="1"/>
  <c r="H228" i="2" s="1"/>
  <c r="H355" i="2" a="1"/>
  <c r="H355" i="2" s="1"/>
  <c r="H94" i="2" a="1"/>
  <c r="H94" i="2" s="1"/>
  <c r="H95" i="2" a="1"/>
  <c r="H95" i="2" s="1"/>
  <c r="H96" i="2" a="1"/>
  <c r="H96" i="2" s="1"/>
  <c r="H229" i="2" a="1"/>
  <c r="H229" i="2" s="1"/>
  <c r="H230" i="2" a="1"/>
  <c r="H230" i="2" s="1"/>
  <c r="H97" i="2" a="1"/>
  <c r="H97" i="2" s="1"/>
  <c r="H356" i="2" a="1"/>
  <c r="H356" i="2" s="1"/>
  <c r="H98" i="2" a="1"/>
  <c r="H98" i="2" s="1"/>
  <c r="H357" i="2" a="1"/>
  <c r="H357" i="2" s="1"/>
  <c r="H231" i="2" a="1"/>
  <c r="H231" i="2" s="1"/>
  <c r="H232" i="2" a="1"/>
  <c r="H232" i="2" s="1"/>
  <c r="H358" i="2" a="1"/>
  <c r="H358" i="2" s="1"/>
  <c r="H99" i="2" a="1"/>
  <c r="H99" i="2" s="1"/>
  <c r="H100" i="2" a="1"/>
  <c r="H100" i="2" s="1"/>
  <c r="H359" i="2" a="1"/>
  <c r="H359" i="2" s="1"/>
  <c r="H360" i="2" a="1"/>
  <c r="H360" i="2" s="1"/>
  <c r="H361" i="2" a="1"/>
  <c r="H361" i="2" s="1"/>
  <c r="H233" i="2" a="1"/>
  <c r="H233" i="2" s="1"/>
  <c r="H362" i="2" a="1"/>
  <c r="H362" i="2" s="1"/>
  <c r="H363" i="2" a="1"/>
  <c r="H363" i="2" s="1"/>
  <c r="H364" i="2" a="1"/>
  <c r="H364" i="2" s="1"/>
  <c r="H101" i="2" a="1"/>
  <c r="H101" i="2" s="1"/>
  <c r="H365" i="2" a="1"/>
  <c r="H365" i="2" s="1"/>
  <c r="H366" i="2" a="1"/>
  <c r="H366" i="2" s="1"/>
  <c r="H367" i="2" a="1"/>
  <c r="H367" i="2" s="1"/>
  <c r="H368" i="2" a="1"/>
  <c r="H368" i="2" s="1"/>
  <c r="H102" i="2" a="1"/>
  <c r="H102" i="2" s="1"/>
  <c r="H234" i="2" a="1"/>
  <c r="H234" i="2" s="1"/>
  <c r="H369" i="2" a="1"/>
  <c r="H369" i="2" s="1"/>
  <c r="H235" i="2" a="1"/>
  <c r="H235" i="2" s="1"/>
  <c r="H103" i="2" a="1"/>
  <c r="H103" i="2" s="1"/>
  <c r="H370" i="2" a="1"/>
  <c r="H370" i="2" s="1"/>
  <c r="H371" i="2" a="1"/>
  <c r="H371" i="2" s="1"/>
  <c r="H104" i="2" a="1"/>
  <c r="H104" i="2" s="1"/>
  <c r="H105" i="2" a="1"/>
  <c r="H105" i="2" s="1"/>
  <c r="H372" i="2" a="1"/>
  <c r="H372" i="2" s="1"/>
  <c r="H373" i="2" a="1"/>
  <c r="H373" i="2" s="1"/>
  <c r="H106" i="2" a="1"/>
  <c r="H106" i="2" s="1"/>
  <c r="H107" i="2" a="1"/>
  <c r="H107" i="2" s="1"/>
  <c r="H236" i="2" a="1"/>
  <c r="H236" i="2" s="1"/>
  <c r="H374" i="2" a="1"/>
  <c r="H374" i="2" s="1"/>
  <c r="H375" i="2" a="1"/>
  <c r="H375" i="2" s="1"/>
  <c r="H108" i="2" a="1"/>
  <c r="H108" i="2" s="1"/>
  <c r="H109" i="2" a="1"/>
  <c r="H109" i="2" s="1"/>
  <c r="H376" i="2" a="1"/>
  <c r="H376" i="2" s="1"/>
  <c r="H237" i="2" a="1"/>
  <c r="H237" i="2" s="1"/>
  <c r="G3" i="2"/>
  <c r="G4" i="2"/>
  <c r="G5" i="2"/>
  <c r="G110" i="2"/>
  <c r="G238" i="2"/>
  <c r="G111" i="2"/>
  <c r="G112" i="2"/>
  <c r="G113" i="2"/>
  <c r="G114" i="2"/>
  <c r="G115" i="2"/>
  <c r="G239" i="2"/>
  <c r="G240" i="2"/>
  <c r="G6" i="2"/>
  <c r="G116" i="2"/>
  <c r="G7" i="2"/>
  <c r="G117" i="2"/>
  <c r="G118" i="2"/>
  <c r="G241" i="2"/>
  <c r="G242" i="2"/>
  <c r="G243" i="2"/>
  <c r="G8" i="2"/>
  <c r="G9" i="2"/>
  <c r="G10" i="2"/>
  <c r="G119" i="2"/>
  <c r="G120" i="2"/>
  <c r="G244" i="2"/>
  <c r="G121" i="2"/>
  <c r="G245" i="2"/>
  <c r="G246" i="2"/>
  <c r="G247" i="2"/>
  <c r="G248" i="2"/>
  <c r="G122" i="2"/>
  <c r="G123" i="2"/>
  <c r="G249" i="2"/>
  <c r="G250" i="2"/>
  <c r="G251" i="2"/>
  <c r="G11" i="2"/>
  <c r="G12" i="2"/>
  <c r="G252" i="2"/>
  <c r="G124" i="2"/>
  <c r="G125" i="2"/>
  <c r="G13" i="2"/>
  <c r="G253" i="2"/>
  <c r="G14" i="2"/>
  <c r="G126" i="2"/>
  <c r="G15" i="2"/>
  <c r="G127" i="2"/>
  <c r="G254" i="2"/>
  <c r="G16" i="2"/>
  <c r="G17" i="2"/>
  <c r="G128" i="2"/>
  <c r="G18" i="2"/>
  <c r="G255" i="2"/>
  <c r="G19" i="2"/>
  <c r="G129" i="2"/>
  <c r="G256" i="2"/>
  <c r="G130" i="2"/>
  <c r="G257" i="2"/>
  <c r="G20" i="2"/>
  <c r="G131" i="2"/>
  <c r="G132" i="2"/>
  <c r="G21" i="2"/>
  <c r="G22" i="2"/>
  <c r="G258" i="2"/>
  <c r="G133" i="2"/>
  <c r="G23" i="2"/>
  <c r="G134" i="2"/>
  <c r="G24" i="2"/>
  <c r="G135" i="2"/>
  <c r="G25" i="2"/>
  <c r="G136" i="2"/>
  <c r="G259" i="2"/>
  <c r="G260" i="2"/>
  <c r="G26" i="2"/>
  <c r="G137" i="2"/>
  <c r="G261" i="2"/>
  <c r="G138" i="2"/>
  <c r="G262" i="2"/>
  <c r="G263" i="2"/>
  <c r="G139" i="2"/>
  <c r="G140" i="2"/>
  <c r="G141" i="2"/>
  <c r="G142" i="2"/>
  <c r="G264" i="2"/>
  <c r="G143" i="2"/>
  <c r="G144" i="2"/>
  <c r="G265" i="2"/>
  <c r="G27" i="2"/>
  <c r="G266" i="2"/>
  <c r="G145" i="2"/>
  <c r="G267" i="2"/>
  <c r="G146" i="2"/>
  <c r="G28" i="2"/>
  <c r="G29" i="2"/>
  <c r="G268" i="2"/>
  <c r="G147" i="2"/>
  <c r="G269" i="2"/>
  <c r="G148" i="2"/>
  <c r="G30" i="2"/>
  <c r="G149" i="2"/>
  <c r="G31" i="2"/>
  <c r="G32" i="2"/>
  <c r="G150" i="2"/>
  <c r="G270" i="2"/>
  <c r="G151" i="2"/>
  <c r="G152" i="2"/>
  <c r="G33" i="2"/>
  <c r="G271" i="2"/>
  <c r="G153" i="2"/>
  <c r="G154" i="2"/>
  <c r="G272" i="2"/>
  <c r="G34" i="2"/>
  <c r="G273" i="2"/>
  <c r="G155" i="2"/>
  <c r="G274" i="2"/>
  <c r="G35" i="2"/>
  <c r="G36" i="2"/>
  <c r="G37" i="2"/>
  <c r="G156" i="2"/>
  <c r="G38" i="2"/>
  <c r="G39" i="2"/>
  <c r="G157" i="2"/>
  <c r="G275" i="2"/>
  <c r="G276" i="2"/>
  <c r="G40" i="2"/>
  <c r="G41" i="2"/>
  <c r="G158" i="2"/>
  <c r="G42" i="2"/>
  <c r="G277" i="2"/>
  <c r="G43" i="2"/>
  <c r="G44" i="2"/>
  <c r="G159" i="2"/>
  <c r="G45" i="2"/>
  <c r="G278" i="2"/>
  <c r="G46" i="2"/>
  <c r="G47" i="2"/>
  <c r="G279" i="2"/>
  <c r="G48" i="2"/>
  <c r="G160" i="2"/>
  <c r="G161" i="2"/>
  <c r="G49" i="2"/>
  <c r="G50" i="2"/>
  <c r="G51" i="2"/>
  <c r="G162" i="2"/>
  <c r="G280" i="2"/>
  <c r="G281" i="2"/>
  <c r="G163" i="2"/>
  <c r="G164" i="2"/>
  <c r="G165" i="2"/>
  <c r="G282" i="2"/>
  <c r="G283" i="2"/>
  <c r="G52" i="2"/>
  <c r="G284" i="2"/>
  <c r="G285" i="2"/>
  <c r="G53" i="2"/>
  <c r="G286" i="2"/>
  <c r="G287" i="2"/>
  <c r="G166" i="2"/>
  <c r="G288" i="2"/>
  <c r="G289" i="2"/>
  <c r="G54" i="2"/>
  <c r="G55" i="2"/>
  <c r="G290" i="2"/>
  <c r="G167" i="2"/>
  <c r="G291" i="2"/>
  <c r="G292" i="2"/>
  <c r="G56" i="2"/>
  <c r="G168" i="2"/>
  <c r="G293" i="2"/>
  <c r="G57" i="2"/>
  <c r="G294" i="2"/>
  <c r="G58" i="2"/>
  <c r="G295" i="2"/>
  <c r="G169" i="2"/>
  <c r="G59" i="2"/>
  <c r="G296" i="2"/>
  <c r="G170" i="2"/>
  <c r="G297" i="2"/>
  <c r="G298" i="2"/>
  <c r="G299" i="2"/>
  <c r="G60" i="2"/>
  <c r="G171" i="2"/>
  <c r="G61" i="2"/>
  <c r="G172" i="2"/>
  <c r="G300" i="2"/>
  <c r="G173" i="2"/>
  <c r="G301" i="2"/>
  <c r="G302" i="2"/>
  <c r="G174" i="2"/>
  <c r="G62" i="2"/>
  <c r="G175" i="2"/>
  <c r="G63" i="2"/>
  <c r="G176" i="2"/>
  <c r="G303" i="2"/>
  <c r="G177" i="2"/>
  <c r="G64" i="2"/>
  <c r="G304" i="2"/>
  <c r="G178" i="2"/>
  <c r="G305" i="2"/>
  <c r="G306" i="2"/>
  <c r="G307" i="2"/>
  <c r="G308" i="2"/>
  <c r="G309" i="2"/>
  <c r="G179" i="2"/>
  <c r="G180" i="2"/>
  <c r="G310" i="2"/>
  <c r="G311" i="2"/>
  <c r="G181" i="2"/>
  <c r="G65" i="2"/>
  <c r="G66" i="2"/>
  <c r="G312" i="2"/>
  <c r="G67" i="2"/>
  <c r="G313" i="2"/>
  <c r="G182" i="2"/>
  <c r="G183" i="2"/>
  <c r="G314" i="2"/>
  <c r="G68" i="2"/>
  <c r="G315" i="2"/>
  <c r="G69" i="2"/>
  <c r="G70" i="2"/>
  <c r="G184" i="2"/>
  <c r="G185" i="2"/>
  <c r="G316" i="2"/>
  <c r="G186" i="2"/>
  <c r="G71" i="2"/>
  <c r="G317" i="2"/>
  <c r="G318" i="2"/>
  <c r="G187" i="2"/>
  <c r="G188" i="2"/>
  <c r="G189" i="2"/>
  <c r="G319" i="2"/>
  <c r="G320" i="2"/>
  <c r="G72" i="2"/>
  <c r="G73" i="2"/>
  <c r="G321" i="2"/>
  <c r="G74" i="2"/>
  <c r="G190" i="2"/>
  <c r="G191" i="2"/>
  <c r="G322" i="2"/>
  <c r="G75" i="2"/>
  <c r="G76" i="2"/>
  <c r="G323" i="2"/>
  <c r="G192" i="2"/>
  <c r="G193" i="2"/>
  <c r="G194" i="2"/>
  <c r="G77" i="2"/>
  <c r="G195" i="2"/>
  <c r="G324" i="2"/>
  <c r="G78" i="2"/>
  <c r="G196" i="2"/>
  <c r="G197" i="2"/>
  <c r="G325" i="2"/>
  <c r="G198" i="2"/>
  <c r="G79" i="2"/>
  <c r="G326" i="2"/>
  <c r="G80" i="2"/>
  <c r="G327" i="2"/>
  <c r="G199" i="2"/>
  <c r="G200" i="2"/>
  <c r="G201" i="2"/>
  <c r="G328" i="2"/>
  <c r="G81" i="2"/>
  <c r="G329" i="2"/>
  <c r="G330" i="2"/>
  <c r="G331" i="2"/>
  <c r="G332" i="2"/>
  <c r="G82" i="2"/>
  <c r="G333" i="2"/>
  <c r="G202" i="2"/>
  <c r="G203" i="2"/>
  <c r="G83" i="2"/>
  <c r="G204" i="2"/>
  <c r="G334" i="2"/>
  <c r="G205" i="2"/>
  <c r="G335" i="2"/>
  <c r="G336" i="2"/>
  <c r="G337" i="2"/>
  <c r="G338" i="2"/>
  <c r="G206" i="2"/>
  <c r="G84" i="2"/>
  <c r="G85" i="2"/>
  <c r="G339" i="2"/>
  <c r="G86" i="2"/>
  <c r="G207" i="2"/>
  <c r="G208" i="2"/>
  <c r="G340" i="2"/>
  <c r="G209" i="2"/>
  <c r="G210" i="2"/>
  <c r="G341" i="2"/>
  <c r="G342" i="2"/>
  <c r="G211" i="2"/>
  <c r="G343" i="2"/>
  <c r="G344" i="2"/>
  <c r="G212" i="2"/>
  <c r="G345" i="2"/>
  <c r="G213" i="2"/>
  <c r="G214" i="2"/>
  <c r="G215" i="2"/>
  <c r="G216" i="2"/>
  <c r="G346" i="2"/>
  <c r="G217" i="2"/>
  <c r="G218" i="2"/>
  <c r="G87" i="2"/>
  <c r="G219" i="2"/>
  <c r="G347" i="2"/>
  <c r="G348" i="2"/>
  <c r="G349" i="2"/>
  <c r="G88" i="2"/>
  <c r="G89" i="2"/>
  <c r="G350" i="2"/>
  <c r="G220" i="2"/>
  <c r="G351" i="2"/>
  <c r="G221" i="2"/>
  <c r="G352" i="2"/>
  <c r="G222" i="2"/>
  <c r="G353" i="2"/>
  <c r="G223" i="2"/>
  <c r="G224" i="2"/>
  <c r="G90" i="2"/>
  <c r="G225" i="2"/>
  <c r="G91" i="2"/>
  <c r="G92" i="2"/>
  <c r="G93" i="2"/>
  <c r="G226" i="2"/>
  <c r="G354" i="2"/>
  <c r="G227" i="2"/>
  <c r="G228" i="2"/>
  <c r="G355" i="2"/>
  <c r="G94" i="2"/>
  <c r="G95" i="2"/>
  <c r="G96" i="2"/>
  <c r="G229" i="2"/>
  <c r="G230" i="2"/>
  <c r="G97" i="2"/>
  <c r="G356" i="2"/>
  <c r="G98" i="2"/>
  <c r="G357" i="2"/>
  <c r="G231" i="2"/>
  <c r="G232" i="2"/>
  <c r="G358" i="2"/>
  <c r="G99" i="2"/>
  <c r="G100" i="2"/>
  <c r="G359" i="2"/>
  <c r="G360" i="2"/>
  <c r="G361" i="2"/>
  <c r="G233" i="2"/>
  <c r="G362" i="2"/>
  <c r="G363" i="2"/>
  <c r="G364" i="2"/>
  <c r="G101" i="2"/>
  <c r="G365" i="2"/>
  <c r="G366" i="2"/>
  <c r="G367" i="2"/>
  <c r="G368" i="2"/>
  <c r="G102" i="2"/>
  <c r="G234" i="2"/>
  <c r="G369" i="2"/>
  <c r="G235" i="2"/>
  <c r="G103" i="2"/>
  <c r="G370" i="2"/>
  <c r="G371" i="2"/>
  <c r="G104" i="2"/>
  <c r="G105" i="2"/>
  <c r="G372" i="2"/>
  <c r="G373" i="2"/>
  <c r="G106" i="2"/>
  <c r="G107" i="2"/>
  <c r="G236" i="2"/>
  <c r="G374" i="2"/>
  <c r="G375" i="2"/>
  <c r="G108" i="2"/>
  <c r="G109" i="2"/>
  <c r="G376" i="2"/>
  <c r="G23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<sst xmlns="http://schemas.openxmlformats.org/spreadsheetml/2006/main" count="1151" uniqueCount="780">
  <si>
    <t>Student ID</t>
  </si>
  <si>
    <t>Name</t>
  </si>
  <si>
    <t>Course</t>
  </si>
  <si>
    <t>Attendance (%)</t>
  </si>
  <si>
    <t>Test Score</t>
  </si>
  <si>
    <t>Final Exam Score</t>
  </si>
  <si>
    <t>Pass Status</t>
  </si>
  <si>
    <t>Grade Category</t>
  </si>
  <si>
    <t>Intervention Flag</t>
  </si>
  <si>
    <t>S0001</t>
  </si>
  <si>
    <t>Timothy Bell</t>
  </si>
  <si>
    <t>Marketing</t>
  </si>
  <si>
    <t>S0002</t>
  </si>
  <si>
    <t>Crystal Duke</t>
  </si>
  <si>
    <t>Data Science</t>
  </si>
  <si>
    <t>S0003</t>
  </si>
  <si>
    <t>Jessica Bullock</t>
  </si>
  <si>
    <t>Business Analytics</t>
  </si>
  <si>
    <t>S0004</t>
  </si>
  <si>
    <t>Brian Garcia</t>
  </si>
  <si>
    <t>S0005</t>
  </si>
  <si>
    <t>Hector Baker</t>
  </si>
  <si>
    <t>S0006</t>
  </si>
  <si>
    <t>Dustin Cox</t>
  </si>
  <si>
    <t>S0007</t>
  </si>
  <si>
    <t>Richard Carey</t>
  </si>
  <si>
    <t>Computer Science</t>
  </si>
  <si>
    <t>S0008</t>
  </si>
  <si>
    <t>Virginia Le</t>
  </si>
  <si>
    <t>S0009</t>
  </si>
  <si>
    <t>Briana Sawyer</t>
  </si>
  <si>
    <t>Finance</t>
  </si>
  <si>
    <t>S0010</t>
  </si>
  <si>
    <t>Joshua Osborne</t>
  </si>
  <si>
    <t>S0011</t>
  </si>
  <si>
    <t>Matthew Brown</t>
  </si>
  <si>
    <t>S0012</t>
  </si>
  <si>
    <t>Ruth Pham</t>
  </si>
  <si>
    <t>S0013</t>
  </si>
  <si>
    <t>Paul Bradley</t>
  </si>
  <si>
    <t>S0014</t>
  </si>
  <si>
    <t>Natasha Hopkins</t>
  </si>
  <si>
    <t>S0015</t>
  </si>
  <si>
    <t>Paula Randall</t>
  </si>
  <si>
    <t>S0016</t>
  </si>
  <si>
    <t>Kenneth Hunter</t>
  </si>
  <si>
    <t>S0017</t>
  </si>
  <si>
    <t>Tiffany Jones</t>
  </si>
  <si>
    <t>S0018</t>
  </si>
  <si>
    <t>Dustin Vincent</t>
  </si>
  <si>
    <t>S0019</t>
  </si>
  <si>
    <t>Jeremiah Rodriguez</t>
  </si>
  <si>
    <t>S0020</t>
  </si>
  <si>
    <t>Jason Rodriguez</t>
  </si>
  <si>
    <t>S0021</t>
  </si>
  <si>
    <t>Cynthia Harris</t>
  </si>
  <si>
    <t>S0022</t>
  </si>
  <si>
    <t>Rita Curtis</t>
  </si>
  <si>
    <t>S0023</t>
  </si>
  <si>
    <t>Mike Smith</t>
  </si>
  <si>
    <t>S0024</t>
  </si>
  <si>
    <t>Patrick Sherman</t>
  </si>
  <si>
    <t>S0025</t>
  </si>
  <si>
    <t>Kimberly Martinez</t>
  </si>
  <si>
    <t>S0026</t>
  </si>
  <si>
    <t>Sherri Nelson</t>
  </si>
  <si>
    <t>S0027</t>
  </si>
  <si>
    <t>Tina Pittman</t>
  </si>
  <si>
    <t>S0028</t>
  </si>
  <si>
    <t>Timothy Brown</t>
  </si>
  <si>
    <t>S0029</t>
  </si>
  <si>
    <t>Julian Patel Jr.</t>
  </si>
  <si>
    <t>S0030</t>
  </si>
  <si>
    <t>Stacey Smith</t>
  </si>
  <si>
    <t>S0031</t>
  </si>
  <si>
    <t>Peggy Gentry</t>
  </si>
  <si>
    <t>S0032</t>
  </si>
  <si>
    <t>Nicole Parks</t>
  </si>
  <si>
    <t>S0033</t>
  </si>
  <si>
    <t>Kerry Lindsey</t>
  </si>
  <si>
    <t>S0034</t>
  </si>
  <si>
    <t>Sarah Bruce</t>
  </si>
  <si>
    <t>S0035</t>
  </si>
  <si>
    <t>Brandon Jenkins</t>
  </si>
  <si>
    <t>S0036</t>
  </si>
  <si>
    <t>Robert Flores</t>
  </si>
  <si>
    <t>S0037</t>
  </si>
  <si>
    <t>Kenneth Schmidt</t>
  </si>
  <si>
    <t>S0038</t>
  </si>
  <si>
    <t>Sharon Brown</t>
  </si>
  <si>
    <t>S0039</t>
  </si>
  <si>
    <t>Michael Jackson</t>
  </si>
  <si>
    <t>S0040</t>
  </si>
  <si>
    <t>Karen Mcintyre</t>
  </si>
  <si>
    <t>S0041</t>
  </si>
  <si>
    <t>Mark Johnson</t>
  </si>
  <si>
    <t>S0042</t>
  </si>
  <si>
    <t>Jacob Summers</t>
  </si>
  <si>
    <t>S0043</t>
  </si>
  <si>
    <t>Katherine Bullock</t>
  </si>
  <si>
    <t>S0044</t>
  </si>
  <si>
    <t>Rebekah Hill</t>
  </si>
  <si>
    <t>S0045</t>
  </si>
  <si>
    <t>Sherry Taylor</t>
  </si>
  <si>
    <t>S0046</t>
  </si>
  <si>
    <t>George Tran</t>
  </si>
  <si>
    <t>S0047</t>
  </si>
  <si>
    <t>Marc Kim</t>
  </si>
  <si>
    <t>S0048</t>
  </si>
  <si>
    <t>Kathryn Calhoun</t>
  </si>
  <si>
    <t>S0049</t>
  </si>
  <si>
    <t>Brian Combs</t>
  </si>
  <si>
    <t>S0050</t>
  </si>
  <si>
    <t>Alexander Rodriguez</t>
  </si>
  <si>
    <t>S0051</t>
  </si>
  <si>
    <t>Emily Bradley</t>
  </si>
  <si>
    <t>S0052</t>
  </si>
  <si>
    <t>Joseph Shields</t>
  </si>
  <si>
    <t>S0053</t>
  </si>
  <si>
    <t>Kristen Garcia</t>
  </si>
  <si>
    <t>S0054</t>
  </si>
  <si>
    <t>Larry Johnson</t>
  </si>
  <si>
    <t>S0055</t>
  </si>
  <si>
    <t>Angela Boyd</t>
  </si>
  <si>
    <t>S0056</t>
  </si>
  <si>
    <t>Justin Molina</t>
  </si>
  <si>
    <t>S0057</t>
  </si>
  <si>
    <t>Emily Tyler</t>
  </si>
  <si>
    <t>S0058</t>
  </si>
  <si>
    <t>William Huynh</t>
  </si>
  <si>
    <t>S0059</t>
  </si>
  <si>
    <t>Brittany Patton</t>
  </si>
  <si>
    <t>S0060</t>
  </si>
  <si>
    <t>Jennifer Grant</t>
  </si>
  <si>
    <t>S0061</t>
  </si>
  <si>
    <t>Steven Jordan</t>
  </si>
  <si>
    <t>S0062</t>
  </si>
  <si>
    <t>Jordan Ruiz</t>
  </si>
  <si>
    <t>S0063</t>
  </si>
  <si>
    <t>Sean Fields</t>
  </si>
  <si>
    <t>S0064</t>
  </si>
  <si>
    <t>Maria Hubbard</t>
  </si>
  <si>
    <t>S0065</t>
  </si>
  <si>
    <t>Miguel Norton</t>
  </si>
  <si>
    <t>S0066</t>
  </si>
  <si>
    <t>Karen Brown</t>
  </si>
  <si>
    <t>S0067</t>
  </si>
  <si>
    <t>Nicole Harper</t>
  </si>
  <si>
    <t>S0068</t>
  </si>
  <si>
    <t>Veronica Dunn</t>
  </si>
  <si>
    <t>S0069</t>
  </si>
  <si>
    <t>Monique Perez</t>
  </si>
  <si>
    <t>S0070</t>
  </si>
  <si>
    <t>Bethany Cook</t>
  </si>
  <si>
    <t>S0071</t>
  </si>
  <si>
    <t>Amy Mcdonald</t>
  </si>
  <si>
    <t>S0072</t>
  </si>
  <si>
    <t>Lynn Vasquez</t>
  </si>
  <si>
    <t>S0073</t>
  </si>
  <si>
    <t>Leah Stewart</t>
  </si>
  <si>
    <t>S0074</t>
  </si>
  <si>
    <t>John Juarez</t>
  </si>
  <si>
    <t>S0075</t>
  </si>
  <si>
    <t>Chelsea White</t>
  </si>
  <si>
    <t>S0076</t>
  </si>
  <si>
    <t>Edward Porter</t>
  </si>
  <si>
    <t>S0077</t>
  </si>
  <si>
    <t>Melissa Lambert</t>
  </si>
  <si>
    <t>S0078</t>
  </si>
  <si>
    <t>Ashley Snyder</t>
  </si>
  <si>
    <t>S0079</t>
  </si>
  <si>
    <t>Katherine Peck</t>
  </si>
  <si>
    <t>S0080</t>
  </si>
  <si>
    <t>Michael Silva</t>
  </si>
  <si>
    <t>S0081</t>
  </si>
  <si>
    <t>Jackie Leon</t>
  </si>
  <si>
    <t>S0082</t>
  </si>
  <si>
    <t>Brian Robinson</t>
  </si>
  <si>
    <t>S0083</t>
  </si>
  <si>
    <t>Jason Nelson</t>
  </si>
  <si>
    <t>S0084</t>
  </si>
  <si>
    <t>Cynthia Porter</t>
  </si>
  <si>
    <t>S0085</t>
  </si>
  <si>
    <t>Travis Galloway</t>
  </si>
  <si>
    <t>S0086</t>
  </si>
  <si>
    <t>Lindsay Obrien</t>
  </si>
  <si>
    <t>S0087</t>
  </si>
  <si>
    <t>Andrew Kim</t>
  </si>
  <si>
    <t>S0088</t>
  </si>
  <si>
    <t>Suzanne Hull</t>
  </si>
  <si>
    <t>S0089</t>
  </si>
  <si>
    <t>David Wright</t>
  </si>
  <si>
    <t>S0090</t>
  </si>
  <si>
    <t>Joy Rodriguez</t>
  </si>
  <si>
    <t>S0091</t>
  </si>
  <si>
    <t>Kimberly Roach</t>
  </si>
  <si>
    <t>S0092</t>
  </si>
  <si>
    <t>Jeffrey Moreno</t>
  </si>
  <si>
    <t>S0093</t>
  </si>
  <si>
    <t>Jessica Wood</t>
  </si>
  <si>
    <t>S0094</t>
  </si>
  <si>
    <t>Kurt Bridges</t>
  </si>
  <si>
    <t>S0095</t>
  </si>
  <si>
    <t>Colin Mitchell</t>
  </si>
  <si>
    <t>S0096</t>
  </si>
  <si>
    <t>Jared Bennett</t>
  </si>
  <si>
    <t>S0097</t>
  </si>
  <si>
    <t>Nicole Myers</t>
  </si>
  <si>
    <t>S0098</t>
  </si>
  <si>
    <t>Stephen Delgado</t>
  </si>
  <si>
    <t>S0099</t>
  </si>
  <si>
    <t>Tony Rivera</t>
  </si>
  <si>
    <t>S0100</t>
  </si>
  <si>
    <t>Dr. Susan Parker</t>
  </si>
  <si>
    <t>S0101</t>
  </si>
  <si>
    <t>Jeanne Holt</t>
  </si>
  <si>
    <t>S0102</t>
  </si>
  <si>
    <t>Jamie Garcia</t>
  </si>
  <si>
    <t>S0103</t>
  </si>
  <si>
    <t>Mrs. Natalie Hartman</t>
  </si>
  <si>
    <t>S0104</t>
  </si>
  <si>
    <t>Michael Donaldson</t>
  </si>
  <si>
    <t>S0105</t>
  </si>
  <si>
    <t>Carol Welch</t>
  </si>
  <si>
    <t>S0106</t>
  </si>
  <si>
    <t>Amanda Martin</t>
  </si>
  <si>
    <t>S0107</t>
  </si>
  <si>
    <t>Cynthia Montgomery</t>
  </si>
  <si>
    <t>S0108</t>
  </si>
  <si>
    <t>Justin Moon</t>
  </si>
  <si>
    <t>S0109</t>
  </si>
  <si>
    <t>Michael Duffy</t>
  </si>
  <si>
    <t>S0110</t>
  </si>
  <si>
    <t>Michael Martinez</t>
  </si>
  <si>
    <t>S0111</t>
  </si>
  <si>
    <t>Daniel Burke</t>
  </si>
  <si>
    <t>S0112</t>
  </si>
  <si>
    <t>Christina Kennedy</t>
  </si>
  <si>
    <t>S0113</t>
  </si>
  <si>
    <t>Sarah Zimmerman</t>
  </si>
  <si>
    <t>S0114</t>
  </si>
  <si>
    <t>Gabriela Brown</t>
  </si>
  <si>
    <t>S0115</t>
  </si>
  <si>
    <t>Lindsey Caldwell</t>
  </si>
  <si>
    <t>S0116</t>
  </si>
  <si>
    <t>Jacqueline Moore</t>
  </si>
  <si>
    <t>S0117</t>
  </si>
  <si>
    <t>Daniel Cameron</t>
  </si>
  <si>
    <t>S0118</t>
  </si>
  <si>
    <t>Joseph Villarreal</t>
  </si>
  <si>
    <t>S0119</t>
  </si>
  <si>
    <t>Angelica Leach</t>
  </si>
  <si>
    <t>S0120</t>
  </si>
  <si>
    <t>Charlotte Rodriguez</t>
  </si>
  <si>
    <t>S0121</t>
  </si>
  <si>
    <t>Beverly Hernandez</t>
  </si>
  <si>
    <t>S0122</t>
  </si>
  <si>
    <t>Mr. Dale Weber</t>
  </si>
  <si>
    <t>S0123</t>
  </si>
  <si>
    <t>Mallory Brown</t>
  </si>
  <si>
    <t>S0124</t>
  </si>
  <si>
    <t>Barbara Koch</t>
  </si>
  <si>
    <t>S0125</t>
  </si>
  <si>
    <t>Ashley Mathis</t>
  </si>
  <si>
    <t>S0126</t>
  </si>
  <si>
    <t>Melissa Mendez</t>
  </si>
  <si>
    <t>S0127</t>
  </si>
  <si>
    <t>Christopher Watson</t>
  </si>
  <si>
    <t>S0128</t>
  </si>
  <si>
    <t>Rick Harris</t>
  </si>
  <si>
    <t>S0129</t>
  </si>
  <si>
    <t>Barbara Donovan</t>
  </si>
  <si>
    <t>S0130</t>
  </si>
  <si>
    <t>Tara Gutierrez</t>
  </si>
  <si>
    <t>S0131</t>
  </si>
  <si>
    <t>Elizabeth Jackson</t>
  </si>
  <si>
    <t>S0132</t>
  </si>
  <si>
    <t>Vanessa Black</t>
  </si>
  <si>
    <t>S0133</t>
  </si>
  <si>
    <t>Eric Parker</t>
  </si>
  <si>
    <t>S0134</t>
  </si>
  <si>
    <t>Sherry Cooper</t>
  </si>
  <si>
    <t>S0135</t>
  </si>
  <si>
    <t>Ricky Willis</t>
  </si>
  <si>
    <t>S0136</t>
  </si>
  <si>
    <t>Lisa Sims</t>
  </si>
  <si>
    <t>S0137</t>
  </si>
  <si>
    <t>Lisa Coffey</t>
  </si>
  <si>
    <t>S0138</t>
  </si>
  <si>
    <t>Corey Miller</t>
  </si>
  <si>
    <t>S0139</t>
  </si>
  <si>
    <t>Ashley Acosta</t>
  </si>
  <si>
    <t>S0140</t>
  </si>
  <si>
    <t>Jamie Flynn</t>
  </si>
  <si>
    <t>S0141</t>
  </si>
  <si>
    <t>James Schroeder</t>
  </si>
  <si>
    <t>S0142</t>
  </si>
  <si>
    <t>Carly Foster</t>
  </si>
  <si>
    <t>S0143</t>
  </si>
  <si>
    <t>Victoria Turner</t>
  </si>
  <si>
    <t>S0144</t>
  </si>
  <si>
    <t>Carl Duke</t>
  </si>
  <si>
    <t>S0145</t>
  </si>
  <si>
    <t>Loretta Norris</t>
  </si>
  <si>
    <t>S0146</t>
  </si>
  <si>
    <t>Randy Garcia</t>
  </si>
  <si>
    <t>S0147</t>
  </si>
  <si>
    <t>Mathew Green</t>
  </si>
  <si>
    <t>S0148</t>
  </si>
  <si>
    <t>Scott Weaver</t>
  </si>
  <si>
    <t>S0149</t>
  </si>
  <si>
    <t>David Myers</t>
  </si>
  <si>
    <t>S0150</t>
  </si>
  <si>
    <t>Angela Hubbard</t>
  </si>
  <si>
    <t>S0151</t>
  </si>
  <si>
    <t>Rebecca Williams</t>
  </si>
  <si>
    <t>S0152</t>
  </si>
  <si>
    <t>Monica Leblanc</t>
  </si>
  <si>
    <t>S0153</t>
  </si>
  <si>
    <t>Patrick Rice</t>
  </si>
  <si>
    <t>S0154</t>
  </si>
  <si>
    <t>Lisa Barber</t>
  </si>
  <si>
    <t>S0155</t>
  </si>
  <si>
    <t>April Robinson</t>
  </si>
  <si>
    <t>S0156</t>
  </si>
  <si>
    <t>Jasmine Ponce</t>
  </si>
  <si>
    <t>S0157</t>
  </si>
  <si>
    <t>Briana Roberts</t>
  </si>
  <si>
    <t>S0158</t>
  </si>
  <si>
    <t>Jesse Johnson</t>
  </si>
  <si>
    <t>S0159</t>
  </si>
  <si>
    <t>Brandy Ramirez</t>
  </si>
  <si>
    <t>S0160</t>
  </si>
  <si>
    <t>Cody Cruz</t>
  </si>
  <si>
    <t>S0161</t>
  </si>
  <si>
    <t>Nicole Valencia</t>
  </si>
  <si>
    <t>S0162</t>
  </si>
  <si>
    <t>Courtney Campos</t>
  </si>
  <si>
    <t>S0163</t>
  </si>
  <si>
    <t>Deborah Holden</t>
  </si>
  <si>
    <t>S0164</t>
  </si>
  <si>
    <t>Michelle Nguyen</t>
  </si>
  <si>
    <t>S0165</t>
  </si>
  <si>
    <t>Robert Obrien</t>
  </si>
  <si>
    <t>S0166</t>
  </si>
  <si>
    <t>Karen Sullivan</t>
  </si>
  <si>
    <t>S0167</t>
  </si>
  <si>
    <t>Vincent Olson</t>
  </si>
  <si>
    <t>S0168</t>
  </si>
  <si>
    <t>Aaron Velazquez</t>
  </si>
  <si>
    <t>S0169</t>
  </si>
  <si>
    <t>Sandy Clark</t>
  </si>
  <si>
    <t>S0170</t>
  </si>
  <si>
    <t>Jeremy Bishop</t>
  </si>
  <si>
    <t>S0171</t>
  </si>
  <si>
    <t>Brad Dennis</t>
  </si>
  <si>
    <t>S0172</t>
  </si>
  <si>
    <t>Stephanie Ramirez</t>
  </si>
  <si>
    <t>S0173</t>
  </si>
  <si>
    <t>Dennis Mckinney</t>
  </si>
  <si>
    <t>S0174</t>
  </si>
  <si>
    <t>Brianna Lee</t>
  </si>
  <si>
    <t>S0175</t>
  </si>
  <si>
    <t>Isaac Grant</t>
  </si>
  <si>
    <t>S0176</t>
  </si>
  <si>
    <t>Linda Rodriguez</t>
  </si>
  <si>
    <t>S0177</t>
  </si>
  <si>
    <t>Andrew Salas</t>
  </si>
  <si>
    <t>S0178</t>
  </si>
  <si>
    <t>Hunter Miller</t>
  </si>
  <si>
    <t>S0179</t>
  </si>
  <si>
    <t>Ronald Snyder</t>
  </si>
  <si>
    <t>S0180</t>
  </si>
  <si>
    <t>Bruce Blackburn</t>
  </si>
  <si>
    <t>S0181</t>
  </si>
  <si>
    <t>Jamie Murphy</t>
  </si>
  <si>
    <t>S0182</t>
  </si>
  <si>
    <t>Andrea Cohen</t>
  </si>
  <si>
    <t>S0183</t>
  </si>
  <si>
    <t>Miss Lisa Hunt</t>
  </si>
  <si>
    <t>S0184</t>
  </si>
  <si>
    <t>Victoria Mcmahon</t>
  </si>
  <si>
    <t>S0185</t>
  </si>
  <si>
    <t>Felicia Carlson</t>
  </si>
  <si>
    <t>S0186</t>
  </si>
  <si>
    <t>Heather Brown</t>
  </si>
  <si>
    <t>S0187</t>
  </si>
  <si>
    <t>Marc Herrera</t>
  </si>
  <si>
    <t>S0188</t>
  </si>
  <si>
    <t>David Tucker</t>
  </si>
  <si>
    <t>S0189</t>
  </si>
  <si>
    <t>Virginia Jennings</t>
  </si>
  <si>
    <t>S0190</t>
  </si>
  <si>
    <t>Steven Moran</t>
  </si>
  <si>
    <t>S0191</t>
  </si>
  <si>
    <t>Reginald Cain</t>
  </si>
  <si>
    <t>S0192</t>
  </si>
  <si>
    <t>Jeremiah Garcia</t>
  </si>
  <si>
    <t>S0193</t>
  </si>
  <si>
    <t>Trevor Simon</t>
  </si>
  <si>
    <t>S0194</t>
  </si>
  <si>
    <t>Kristine Wells</t>
  </si>
  <si>
    <t>S0195</t>
  </si>
  <si>
    <t>Felicia Greene</t>
  </si>
  <si>
    <t>S0196</t>
  </si>
  <si>
    <t>Andrew Cuevas</t>
  </si>
  <si>
    <t>S0197</t>
  </si>
  <si>
    <t>Jeff Huynh</t>
  </si>
  <si>
    <t>S0198</t>
  </si>
  <si>
    <t>Lindsay Nelson</t>
  </si>
  <si>
    <t>S0199</t>
  </si>
  <si>
    <t>Michael Stephens</t>
  </si>
  <si>
    <t>S0200</t>
  </si>
  <si>
    <t>Mrs. Gwendolyn Jennings MD</t>
  </si>
  <si>
    <t>S0201</t>
  </si>
  <si>
    <t>Diana Davila</t>
  </si>
  <si>
    <t>S0202</t>
  </si>
  <si>
    <t>Elizabeth Pollard</t>
  </si>
  <si>
    <t>S0203</t>
  </si>
  <si>
    <t>Michael Watson</t>
  </si>
  <si>
    <t>S0204</t>
  </si>
  <si>
    <t>Erica Kelly</t>
  </si>
  <si>
    <t>S0205</t>
  </si>
  <si>
    <t>Nathan Grant</t>
  </si>
  <si>
    <t>S0206</t>
  </si>
  <si>
    <t>Benjamin Collins</t>
  </si>
  <si>
    <t>S0207</t>
  </si>
  <si>
    <t>Jacob Burgess</t>
  </si>
  <si>
    <t>S0208</t>
  </si>
  <si>
    <t>Casey Acosta</t>
  </si>
  <si>
    <t>S0209</t>
  </si>
  <si>
    <t>Ronald Kramer</t>
  </si>
  <si>
    <t>S0210</t>
  </si>
  <si>
    <t>Zachary Gonzalez</t>
  </si>
  <si>
    <t>S0211</t>
  </si>
  <si>
    <t>Taylor Pierce</t>
  </si>
  <si>
    <t>S0212</t>
  </si>
  <si>
    <t>Christopher Friedman</t>
  </si>
  <si>
    <t>S0213</t>
  </si>
  <si>
    <t>Carol Cooper</t>
  </si>
  <si>
    <t>S0214</t>
  </si>
  <si>
    <t>Tiffany Roberts</t>
  </si>
  <si>
    <t>S0215</t>
  </si>
  <si>
    <t>Gordon Harris Jr.</t>
  </si>
  <si>
    <t>S0216</t>
  </si>
  <si>
    <t>Nicole Robinson</t>
  </si>
  <si>
    <t>S0217</t>
  </si>
  <si>
    <t>Erica Cline</t>
  </si>
  <si>
    <t>S0218</t>
  </si>
  <si>
    <t>Mrs. Vanessa Griffith</t>
  </si>
  <si>
    <t>S0219</t>
  </si>
  <si>
    <t>Johnny Larson</t>
  </si>
  <si>
    <t>S0220</t>
  </si>
  <si>
    <t>Laura Castro</t>
  </si>
  <si>
    <t>S0221</t>
  </si>
  <si>
    <t>Amanda Williams</t>
  </si>
  <si>
    <t>S0222</t>
  </si>
  <si>
    <t>Ashley Collins</t>
  </si>
  <si>
    <t>S0223</t>
  </si>
  <si>
    <t>Holly Welch</t>
  </si>
  <si>
    <t>S0224</t>
  </si>
  <si>
    <t>Paul Day</t>
  </si>
  <si>
    <t>S0225</t>
  </si>
  <si>
    <t>Ashley Harris</t>
  </si>
  <si>
    <t>S0226</t>
  </si>
  <si>
    <t>Travis Dillon</t>
  </si>
  <si>
    <t>S0227</t>
  </si>
  <si>
    <t>Devin Martin</t>
  </si>
  <si>
    <t>S0228</t>
  </si>
  <si>
    <t>Andrew Woodard</t>
  </si>
  <si>
    <t>S0229</t>
  </si>
  <si>
    <t>Amber Pittman</t>
  </si>
  <si>
    <t>S0230</t>
  </si>
  <si>
    <t>Heather Wilson</t>
  </si>
  <si>
    <t>S0231</t>
  </si>
  <si>
    <t>Ashlee Ruiz</t>
  </si>
  <si>
    <t>S0232</t>
  </si>
  <si>
    <t>Catherine Phillips</t>
  </si>
  <si>
    <t>S0233</t>
  </si>
  <si>
    <t>Joe Lowe</t>
  </si>
  <si>
    <t>S0234</t>
  </si>
  <si>
    <t>Craig Miller</t>
  </si>
  <si>
    <t>S0235</t>
  </si>
  <si>
    <t>Ricky Stevenson</t>
  </si>
  <si>
    <t>S0236</t>
  </si>
  <si>
    <t>Amanda Anderson</t>
  </si>
  <si>
    <t>S0237</t>
  </si>
  <si>
    <t>David Ward</t>
  </si>
  <si>
    <t>S0238</t>
  </si>
  <si>
    <t>Joel Meyers</t>
  </si>
  <si>
    <t>S0239</t>
  </si>
  <si>
    <t>Julia Perez</t>
  </si>
  <si>
    <t>S0240</t>
  </si>
  <si>
    <t>Joseph Sanders</t>
  </si>
  <si>
    <t>S0241</t>
  </si>
  <si>
    <t>Karen Knox</t>
  </si>
  <si>
    <t>S0242</t>
  </si>
  <si>
    <t>Hunter Estrada</t>
  </si>
  <si>
    <t>S0243</t>
  </si>
  <si>
    <t>Mrs. Christine Wood</t>
  </si>
  <si>
    <t>S0244</t>
  </si>
  <si>
    <t>Anita Cabrera</t>
  </si>
  <si>
    <t>S0245</t>
  </si>
  <si>
    <t>Kevin Nelson</t>
  </si>
  <si>
    <t>S0246</t>
  </si>
  <si>
    <t>Brandon Bailey</t>
  </si>
  <si>
    <t>S0247</t>
  </si>
  <si>
    <t>Clinton Sanders</t>
  </si>
  <si>
    <t>S0248</t>
  </si>
  <si>
    <t>Donald Bradley</t>
  </si>
  <si>
    <t>S0249</t>
  </si>
  <si>
    <t>Mrs. Alicia Bean</t>
  </si>
  <si>
    <t>S0250</t>
  </si>
  <si>
    <t>Steve Smith</t>
  </si>
  <si>
    <t>S0251</t>
  </si>
  <si>
    <t>Melanie Long</t>
  </si>
  <si>
    <t>S0252</t>
  </si>
  <si>
    <t>Sarah Phillips</t>
  </si>
  <si>
    <t>S0253</t>
  </si>
  <si>
    <t>Amanda Bennett</t>
  </si>
  <si>
    <t>S0254</t>
  </si>
  <si>
    <t>Matthew Smith</t>
  </si>
  <si>
    <t>S0255</t>
  </si>
  <si>
    <t>Samantha Jacobson</t>
  </si>
  <si>
    <t>S0256</t>
  </si>
  <si>
    <t>Lori Brooks</t>
  </si>
  <si>
    <t>S0257</t>
  </si>
  <si>
    <t>Kevin Patton</t>
  </si>
  <si>
    <t>S0258</t>
  </si>
  <si>
    <t>Theresa Russell</t>
  </si>
  <si>
    <t>S0259</t>
  </si>
  <si>
    <t>Charles Powers</t>
  </si>
  <si>
    <t>S0260</t>
  </si>
  <si>
    <t>Angelica Burton</t>
  </si>
  <si>
    <t>S0261</t>
  </si>
  <si>
    <t>James Eaton</t>
  </si>
  <si>
    <t>S0262</t>
  </si>
  <si>
    <t>Christopher Johnson</t>
  </si>
  <si>
    <t>S0263</t>
  </si>
  <si>
    <t>Sara Fry</t>
  </si>
  <si>
    <t>S0264</t>
  </si>
  <si>
    <t>Jennifer Miller</t>
  </si>
  <si>
    <t>S0265</t>
  </si>
  <si>
    <t>William Davis</t>
  </si>
  <si>
    <t>S0266</t>
  </si>
  <si>
    <t>Benjamin Yates</t>
  </si>
  <si>
    <t>S0267</t>
  </si>
  <si>
    <t>John Jones</t>
  </si>
  <si>
    <t>S0268</t>
  </si>
  <si>
    <t>Miss Jessica Cardenas</t>
  </si>
  <si>
    <t>S0269</t>
  </si>
  <si>
    <t>Mr. Christian Hall</t>
  </si>
  <si>
    <t>S0270</t>
  </si>
  <si>
    <t>Jason Collier</t>
  </si>
  <si>
    <t>S0271</t>
  </si>
  <si>
    <t>Michelle Anderson</t>
  </si>
  <si>
    <t>S0272</t>
  </si>
  <si>
    <t>Richard Flynn</t>
  </si>
  <si>
    <t>S0273</t>
  </si>
  <si>
    <t>Morgan Hill</t>
  </si>
  <si>
    <t>S0274</t>
  </si>
  <si>
    <t>Reginald Tucker</t>
  </si>
  <si>
    <t>S0275</t>
  </si>
  <si>
    <t>Andrew Nelson</t>
  </si>
  <si>
    <t>S0276</t>
  </si>
  <si>
    <t>Shannon Valdez</t>
  </si>
  <si>
    <t>S0277</t>
  </si>
  <si>
    <t>Amanda Gonzalez</t>
  </si>
  <si>
    <t>S0278</t>
  </si>
  <si>
    <t>Christina Fowler DDS</t>
  </si>
  <si>
    <t>S0279</t>
  </si>
  <si>
    <t>Michael Boyer</t>
  </si>
  <si>
    <t>S0280</t>
  </si>
  <si>
    <t>Brian Watson</t>
  </si>
  <si>
    <t>S0281</t>
  </si>
  <si>
    <t>Angela Crosby</t>
  </si>
  <si>
    <t>S0282</t>
  </si>
  <si>
    <t>Jeffrey Price</t>
  </si>
  <si>
    <t>S0283</t>
  </si>
  <si>
    <t>Edgar Wilson</t>
  </si>
  <si>
    <t>S0284</t>
  </si>
  <si>
    <t>Jon Oliver</t>
  </si>
  <si>
    <t>S0285</t>
  </si>
  <si>
    <t>Judy Erickson</t>
  </si>
  <si>
    <t>S0286</t>
  </si>
  <si>
    <t>Charles Jackson</t>
  </si>
  <si>
    <t>S0287</t>
  </si>
  <si>
    <t>Anthony Williams</t>
  </si>
  <si>
    <t>S0288</t>
  </si>
  <si>
    <t>Stephanie Davis</t>
  </si>
  <si>
    <t>S0289</t>
  </si>
  <si>
    <t>Andre Robinson</t>
  </si>
  <si>
    <t>S0290</t>
  </si>
  <si>
    <t>Heather Kelley</t>
  </si>
  <si>
    <t>S0291</t>
  </si>
  <si>
    <t>Katie Chapman</t>
  </si>
  <si>
    <t>S0292</t>
  </si>
  <si>
    <t>Brandy Murphy</t>
  </si>
  <si>
    <t>S0293</t>
  </si>
  <si>
    <t>Dustin Campbell</t>
  </si>
  <si>
    <t>S0294</t>
  </si>
  <si>
    <t>Adam Coleman</t>
  </si>
  <si>
    <t>S0295</t>
  </si>
  <si>
    <t>Brittany Smith</t>
  </si>
  <si>
    <t>S0296</t>
  </si>
  <si>
    <t>Jennifer May</t>
  </si>
  <si>
    <t>S0297</t>
  </si>
  <si>
    <t>Brian Rogers</t>
  </si>
  <si>
    <t>S0298</t>
  </si>
  <si>
    <t>Melissa Williams</t>
  </si>
  <si>
    <t>S0299</t>
  </si>
  <si>
    <t>Renee Cox</t>
  </si>
  <si>
    <t>S0300</t>
  </si>
  <si>
    <t>Lauren Newton</t>
  </si>
  <si>
    <t>S0301</t>
  </si>
  <si>
    <t>Shannon Diaz</t>
  </si>
  <si>
    <t>S0302</t>
  </si>
  <si>
    <t>Jeremiah Kelly</t>
  </si>
  <si>
    <t>S0303</t>
  </si>
  <si>
    <t>Robyn Owens MD</t>
  </si>
  <si>
    <t>S0304</t>
  </si>
  <si>
    <t>Jacqueline Woods</t>
  </si>
  <si>
    <t>S0305</t>
  </si>
  <si>
    <t>Anthony Manning</t>
  </si>
  <si>
    <t>S0306</t>
  </si>
  <si>
    <t>Maureen Martin</t>
  </si>
  <si>
    <t>S0307</t>
  </si>
  <si>
    <t>Daniel Golden</t>
  </si>
  <si>
    <t>S0308</t>
  </si>
  <si>
    <t>Phyllis Bass</t>
  </si>
  <si>
    <t>S0309</t>
  </si>
  <si>
    <t>Jennifer Neal</t>
  </si>
  <si>
    <t>S0310</t>
  </si>
  <si>
    <t>Donna Johnson</t>
  </si>
  <si>
    <t>S0311</t>
  </si>
  <si>
    <t>Robert Berry</t>
  </si>
  <si>
    <t>S0312</t>
  </si>
  <si>
    <t>Brandi Gonzalez</t>
  </si>
  <si>
    <t>S0313</t>
  </si>
  <si>
    <t>Carol Williams</t>
  </si>
  <si>
    <t>S0314</t>
  </si>
  <si>
    <t>Jessica Stanley</t>
  </si>
  <si>
    <t>S0315</t>
  </si>
  <si>
    <t>Kara Ramirez</t>
  </si>
  <si>
    <t>S0316</t>
  </si>
  <si>
    <t>Steven Mckinney</t>
  </si>
  <si>
    <t>S0317</t>
  </si>
  <si>
    <t>Chad Clark</t>
  </si>
  <si>
    <t>S0318</t>
  </si>
  <si>
    <t>Robert Thompson</t>
  </si>
  <si>
    <t>S0319</t>
  </si>
  <si>
    <t>Emma Wilson</t>
  </si>
  <si>
    <t>S0320</t>
  </si>
  <si>
    <t>Steven Bass</t>
  </si>
  <si>
    <t>S0321</t>
  </si>
  <si>
    <t>Jessica Hernandez</t>
  </si>
  <si>
    <t>S0322</t>
  </si>
  <si>
    <t>Emily Reyes</t>
  </si>
  <si>
    <t>S0323</t>
  </si>
  <si>
    <t>Jason Allen</t>
  </si>
  <si>
    <t>S0324</t>
  </si>
  <si>
    <t>Gregory Williams</t>
  </si>
  <si>
    <t>S0325</t>
  </si>
  <si>
    <t>Adam Tate</t>
  </si>
  <si>
    <t>S0326</t>
  </si>
  <si>
    <t>Catherine Jones</t>
  </si>
  <si>
    <t>S0327</t>
  </si>
  <si>
    <t>Eric Peters</t>
  </si>
  <si>
    <t>S0328</t>
  </si>
  <si>
    <t>Mrs. Veronica Martinez</t>
  </si>
  <si>
    <t>S0329</t>
  </si>
  <si>
    <t>S0330</t>
  </si>
  <si>
    <t>April Thomas</t>
  </si>
  <si>
    <t>S0331</t>
  </si>
  <si>
    <t>Dean Jones</t>
  </si>
  <si>
    <t>S0332</t>
  </si>
  <si>
    <t>Travis Patel</t>
  </si>
  <si>
    <t>S0333</t>
  </si>
  <si>
    <t>Kimberly Rodriguez</t>
  </si>
  <si>
    <t>S0334</t>
  </si>
  <si>
    <t>Heather Holland</t>
  </si>
  <si>
    <t>S0335</t>
  </si>
  <si>
    <t>Daniel Woodward</t>
  </si>
  <si>
    <t>S0336</t>
  </si>
  <si>
    <t>Lori Gross</t>
  </si>
  <si>
    <t>S0337</t>
  </si>
  <si>
    <t>Karen Manning MD</t>
  </si>
  <si>
    <t>S0338</t>
  </si>
  <si>
    <t>Jessica Lawson</t>
  </si>
  <si>
    <t>S0339</t>
  </si>
  <si>
    <t>Theresa Morgan</t>
  </si>
  <si>
    <t>S0340</t>
  </si>
  <si>
    <t>Howard Carter</t>
  </si>
  <si>
    <t>S0341</t>
  </si>
  <si>
    <t>Jessica Parker</t>
  </si>
  <si>
    <t>S0342</t>
  </si>
  <si>
    <t>Jared Kelley</t>
  </si>
  <si>
    <t>S0343</t>
  </si>
  <si>
    <t>Jacqueline Hayes</t>
  </si>
  <si>
    <t>S0344</t>
  </si>
  <si>
    <t>Caitlin Johnson</t>
  </si>
  <si>
    <t>S0345</t>
  </si>
  <si>
    <t>Mitchell Williams</t>
  </si>
  <si>
    <t>S0346</t>
  </si>
  <si>
    <t>Calvin Compton</t>
  </si>
  <si>
    <t>S0347</t>
  </si>
  <si>
    <t>Sheena Cox</t>
  </si>
  <si>
    <t>S0348</t>
  </si>
  <si>
    <t>Megan Stone</t>
  </si>
  <si>
    <t>S0349</t>
  </si>
  <si>
    <t>Jasmine Summers</t>
  </si>
  <si>
    <t>S0350</t>
  </si>
  <si>
    <t>Sarah Perez PhD</t>
  </si>
  <si>
    <t>S0351</t>
  </si>
  <si>
    <t>Thomas Huber</t>
  </si>
  <si>
    <t>S0352</t>
  </si>
  <si>
    <t>Martin Case</t>
  </si>
  <si>
    <t>S0353</t>
  </si>
  <si>
    <t>Annette Martin</t>
  </si>
  <si>
    <t>S0354</t>
  </si>
  <si>
    <t>Julie Owens</t>
  </si>
  <si>
    <t>S0355</t>
  </si>
  <si>
    <t>Lindsey Brown</t>
  </si>
  <si>
    <t>S0356</t>
  </si>
  <si>
    <t>Kelli Smith</t>
  </si>
  <si>
    <t>S0357</t>
  </si>
  <si>
    <t>Carl Davis</t>
  </si>
  <si>
    <t>S0358</t>
  </si>
  <si>
    <t>Dean Norton</t>
  </si>
  <si>
    <t>S0359</t>
  </si>
  <si>
    <t>Laura Baker</t>
  </si>
  <si>
    <t>S0360</t>
  </si>
  <si>
    <t>Cheryl Crawford</t>
  </si>
  <si>
    <t>S0361</t>
  </si>
  <si>
    <t>Erica Taylor</t>
  </si>
  <si>
    <t>S0362</t>
  </si>
  <si>
    <t>Dana Schmidt</t>
  </si>
  <si>
    <t>S0363</t>
  </si>
  <si>
    <t>Christine Davis</t>
  </si>
  <si>
    <t>S0364</t>
  </si>
  <si>
    <t>Timothy Hanson</t>
  </si>
  <si>
    <t>S0365</t>
  </si>
  <si>
    <t>Joshua Chapman</t>
  </si>
  <si>
    <t>S0366</t>
  </si>
  <si>
    <t>Kayla Williams</t>
  </si>
  <si>
    <t>S0367</t>
  </si>
  <si>
    <t>Elijah Davidson</t>
  </si>
  <si>
    <t>S0368</t>
  </si>
  <si>
    <t>Evelyn Young</t>
  </si>
  <si>
    <t>S0369</t>
  </si>
  <si>
    <t>Veronica James</t>
  </si>
  <si>
    <t>S0370</t>
  </si>
  <si>
    <t>Tony Harris MD</t>
  </si>
  <si>
    <t>S0371</t>
  </si>
  <si>
    <t>Brian Jordan</t>
  </si>
  <si>
    <t>S0372</t>
  </si>
  <si>
    <t>Dr. John Kaiser PhD</t>
  </si>
  <si>
    <t>S0373</t>
  </si>
  <si>
    <t>Kristopher Lloyd</t>
  </si>
  <si>
    <t>S0374</t>
  </si>
  <si>
    <t>Dr. James Thompson MD</t>
  </si>
  <si>
    <t>S0375</t>
  </si>
  <si>
    <t>Cory Torres</t>
  </si>
  <si>
    <t>Day 08 Solution - Logical Functions (University Course Tracker)</t>
  </si>
  <si>
    <t>All formulas live in the 'Student Performance (Solved)' sheet, columns G, H, I. The original 'Student Performance' sheet is left unmodified.</t>
  </si>
  <si>
    <t>Task 1 - Determine Pass Status</t>
  </si>
  <si>
    <t>Formula (row 2): =IF(F2&gt;=50,"Pass","Fail")</t>
  </si>
  <si>
    <t>Answer: Pass = 267 students, Fail = 108 students (out of 375).</t>
  </si>
  <si>
    <t>Task 2 - Assign Grade Category</t>
  </si>
  <si>
    <t>Formula (row 2): =IFS(F2&gt;=85,"Distinction",F2&gt;=60,"Pass",F2&lt;60,"Fail")</t>
  </si>
  <si>
    <t>Answer: Distinction = 79, Pass = 132, Fail = 164 (out of 375).</t>
  </si>
  <si>
    <t>Task 3 - Flag Students Needing Intervention</t>
  </si>
  <si>
    <t>Formula (row 2): =IF(OR(D2&lt;75,F2&lt;50),"Needs Intervention","OK")</t>
  </si>
  <si>
    <t>Answer: Needs Intervention = 235, OK = 140 (out of 375).</t>
  </si>
  <si>
    <t>Bonus 1 - Conditional Formatting on Intervention Flag</t>
  </si>
  <si>
    <t>Applied with openpyxl CellIsRule on I2:I376: equal to "Needs Intervention" -&gt; red fill (FFC7CE) + dark red text (9C0006); equal to "OK" -&gt; green fill (C6EFCE) + dark green text (006100).</t>
  </si>
  <si>
    <t>Manual steps in Excel: select I2:I376 -&gt; Home &gt; Conditional Formatting &gt; Highlight Cells Rules &gt; Equal To -&gt; type Needs Intervention -&gt; Light Red Fill with Dark Red Text; repeat for OK with the Green preset.</t>
  </si>
  <si>
    <t>Bonus 2 - Sort flagged students to the top</t>
  </si>
  <si>
    <t>Done in the 'Student Performance (Solved)' sheet: rows are pre-sorted so all 'Needs Intervention' rows (235 students) come before all 'OK' rows (140 students); each row's formula references its own row (D and F), so the sort does not break any formula.</t>
  </si>
  <si>
    <t>Manual steps in Excel: select the data range -&gt; Data &gt; Sort -&gt; Sort by 'Intervention Flag' -&gt; Order 'Needs Intervention' before 'OK' (or sort A-Z, since 'Needs Intervention' precedes 'OK' alphabetically).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</si>
</sst>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FF0000"/>
      </font>
    </dxf>
    <dxf>
      <font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B753-9CC8-40F8-A1E6-BBFF147B275F}">
  <dimension ref="A1:A23"/>
  <sheetViews>
    <sheetView workbookViewId="0">
      <selection activeCell="A14" sqref="A14"/>
    </sheetView>
  </sheetViews>
  <sheetFormatPr defaultRowHeight="14.4" x14ac:dyDescent="0.3"/>
  <cols>
    <col min="1" max="1" width="210.5546875" bestFit="1" customWidth="1"/>
  </cols>
  <sheetData>
    <row r="1" spans="1:1" ht="15.6" x14ac:dyDescent="0.3">
      <c r="A1" s="4" t="s">
        <v>763</v>
      </c>
    </row>
    <row r="3" spans="1:1" x14ac:dyDescent="0.3">
      <c r="A3" t="s">
        <v>764</v>
      </c>
    </row>
    <row r="5" spans="1:1" x14ac:dyDescent="0.3">
      <c r="A5" s="3" t="s">
        <v>765</v>
      </c>
    </row>
    <row r="6" spans="1:1" x14ac:dyDescent="0.3">
      <c r="A6" t="s">
        <v>766</v>
      </c>
    </row>
    <row r="7" spans="1:1" x14ac:dyDescent="0.3">
      <c r="A7" t="s">
        <v>767</v>
      </c>
    </row>
    <row r="9" spans="1:1" x14ac:dyDescent="0.3">
      <c r="A9" s="3" t="s">
        <v>768</v>
      </c>
    </row>
    <row r="10" spans="1:1" x14ac:dyDescent="0.3">
      <c r="A10" t="s">
        <v>769</v>
      </c>
    </row>
    <row r="11" spans="1:1" x14ac:dyDescent="0.3">
      <c r="A11" t="s">
        <v>770</v>
      </c>
    </row>
    <row r="13" spans="1:1" x14ac:dyDescent="0.3">
      <c r="A13" s="3" t="s">
        <v>771</v>
      </c>
    </row>
    <row r="14" spans="1:1" x14ac:dyDescent="0.3">
      <c r="A14" t="s">
        <v>772</v>
      </c>
    </row>
    <row r="15" spans="1:1" x14ac:dyDescent="0.3">
      <c r="A15" t="s">
        <v>773</v>
      </c>
    </row>
    <row r="17" spans="1:1" x14ac:dyDescent="0.3">
      <c r="A17" s="3" t="s">
        <v>774</v>
      </c>
    </row>
    <row r="18" spans="1:1" x14ac:dyDescent="0.3">
      <c r="A18" t="s">
        <v>775</v>
      </c>
    </row>
    <row r="19" spans="1:1" x14ac:dyDescent="0.3">
      <c r="A19" t="s">
        <v>776</v>
      </c>
    </row>
    <row r="21" spans="1:1" x14ac:dyDescent="0.3">
      <c r="A21" s="3" t="s">
        <v>777</v>
      </c>
    </row>
    <row r="22" spans="1:1" x14ac:dyDescent="0.3">
      <c r="A22" t="s">
        <v>778</v>
      </c>
    </row>
    <row r="23" spans="1:1" x14ac:dyDescent="0.3">
      <c r="A23" t="s">
        <v>779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AE9E-B7CD-4A8E-9DFE-AB1DBA963950}">
  <dimension ref="A1:I376"/>
  <sheetViews>
    <sheetView tabSelected="1" workbookViewId="0">
      <selection activeCell="H376" sqref="H376"/>
    </sheetView>
  </sheetViews>
  <sheetFormatPr defaultRowHeight="14.4" x14ac:dyDescent="0.3"/>
  <cols>
    <col min="1" max="1" width="10.88671875" bestFit="1" customWidth="1"/>
    <col min="2" max="2" width="25.109375" bestFit="1" customWidth="1"/>
    <col min="3" max="3" width="15.77734375" bestFit="1" customWidth="1"/>
    <col min="4" max="4" width="15.44140625" bestFit="1" customWidth="1"/>
    <col min="5" max="5" width="10.44140625" bestFit="1" customWidth="1"/>
    <col min="6" max="6" width="16.6640625" bestFit="1" customWidth="1"/>
    <col min="7" max="7" width="11.44140625" bestFit="1" customWidth="1"/>
    <col min="8" max="8" width="15.5546875" bestFit="1" customWidth="1"/>
    <col min="9" max="9" width="22.332031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12</v>
      </c>
      <c r="B2" s="2" t="s">
        <v>13</v>
      </c>
      <c r="C2" s="2" t="s">
        <v>14</v>
      </c>
      <c r="D2" s="2">
        <v>78</v>
      </c>
      <c r="E2" s="2">
        <v>82</v>
      </c>
      <c r="F2" s="2">
        <v>45</v>
      </c>
      <c r="G2" s="2" t="str">
        <f>IF($F2&gt;=50,"Pass","Fail")</f>
        <v>Fail</v>
      </c>
      <c r="H2" s="2" t="str" cm="1">
        <f t="array" ref="H2">_xlfn.IFS(F2&gt;=85,"Distinction",F2&gt;=60,"Pass",F2&lt;60,"Fail" )</f>
        <v>Fail</v>
      </c>
      <c r="I2" s="2" t="str">
        <f t="shared" ref="I2:I65" si="0">IF(OR(D2&lt;75,F2&lt;50),"Needs Intervention","OK")</f>
        <v>Needs Intervention</v>
      </c>
    </row>
    <row r="3" spans="1:9" x14ac:dyDescent="0.3">
      <c r="A3" s="2" t="s">
        <v>15</v>
      </c>
      <c r="B3" s="2" t="s">
        <v>16</v>
      </c>
      <c r="C3" s="2" t="s">
        <v>17</v>
      </c>
      <c r="D3" s="2">
        <v>64</v>
      </c>
      <c r="E3" s="2">
        <v>89</v>
      </c>
      <c r="F3" s="2">
        <v>37</v>
      </c>
      <c r="G3" s="2" t="str">
        <f t="shared" ref="G2:G65" si="1">IF($F3&gt;=50,"Pass","Fail")</f>
        <v>Fail</v>
      </c>
      <c r="H3" s="2" t="str" cm="1">
        <f t="array" ref="H3">_xlfn.IFS(F3&gt;=85,"Distinction",F3&gt;=60,"Pass",F3&lt;60,"Fail" )</f>
        <v>Fail</v>
      </c>
      <c r="I3" s="2" t="str">
        <f t="shared" si="0"/>
        <v>Needs Intervention</v>
      </c>
    </row>
    <row r="4" spans="1:9" x14ac:dyDescent="0.3">
      <c r="A4" s="2" t="s">
        <v>18</v>
      </c>
      <c r="B4" s="2" t="s">
        <v>19</v>
      </c>
      <c r="C4" s="2" t="s">
        <v>17</v>
      </c>
      <c r="D4" s="2">
        <v>92</v>
      </c>
      <c r="E4" s="2">
        <v>92</v>
      </c>
      <c r="F4" s="2">
        <v>33</v>
      </c>
      <c r="G4" s="2" t="str">
        <f t="shared" si="1"/>
        <v>Fail</v>
      </c>
      <c r="H4" s="2" t="str" cm="1">
        <f t="array" ref="H4">_xlfn.IFS(F4&gt;=85,"Distinction",F4&gt;=60,"Pass",F4&lt;60,"Fail" )</f>
        <v>Fail</v>
      </c>
      <c r="I4" s="2" t="str">
        <f t="shared" si="0"/>
        <v>Needs Intervention</v>
      </c>
    </row>
    <row r="5" spans="1:9" x14ac:dyDescent="0.3">
      <c r="A5" s="2" t="s">
        <v>20</v>
      </c>
      <c r="B5" s="2" t="s">
        <v>21</v>
      </c>
      <c r="C5" s="2" t="s">
        <v>11</v>
      </c>
      <c r="D5" s="2">
        <v>57</v>
      </c>
      <c r="E5" s="2">
        <v>61</v>
      </c>
      <c r="F5" s="2">
        <v>33</v>
      </c>
      <c r="G5" s="2" t="str">
        <f t="shared" si="1"/>
        <v>Fail</v>
      </c>
      <c r="H5" s="2" t="str" cm="1">
        <f t="array" ref="H5">_xlfn.IFS(F5&gt;=85,"Distinction",F5&gt;=60,"Pass",F5&lt;60,"Fail" )</f>
        <v>Fail</v>
      </c>
      <c r="I5" s="2" t="str">
        <f t="shared" si="0"/>
        <v>Needs Intervention</v>
      </c>
    </row>
    <row r="6" spans="1:9" x14ac:dyDescent="0.3">
      <c r="A6" s="2" t="s">
        <v>42</v>
      </c>
      <c r="B6" s="2" t="s">
        <v>43</v>
      </c>
      <c r="C6" s="2" t="s">
        <v>11</v>
      </c>
      <c r="D6" s="2">
        <v>73</v>
      </c>
      <c r="E6" s="2">
        <v>61</v>
      </c>
      <c r="F6" s="2">
        <v>48</v>
      </c>
      <c r="G6" s="2" t="str">
        <f t="shared" si="1"/>
        <v>Fail</v>
      </c>
      <c r="H6" s="2" t="str" cm="1">
        <f t="array" ref="H6">_xlfn.IFS(F6&gt;=85,"Distinction",F6&gt;=60,"Pass",F6&lt;60,"Fail" )</f>
        <v>Fail</v>
      </c>
      <c r="I6" s="2" t="str">
        <f t="shared" si="0"/>
        <v>Needs Intervention</v>
      </c>
    </row>
    <row r="7" spans="1:9" x14ac:dyDescent="0.3">
      <c r="A7" s="2" t="s">
        <v>46</v>
      </c>
      <c r="B7" s="2" t="s">
        <v>47</v>
      </c>
      <c r="C7" s="2" t="s">
        <v>17</v>
      </c>
      <c r="D7" s="2">
        <v>71</v>
      </c>
      <c r="E7" s="2">
        <v>52</v>
      </c>
      <c r="F7" s="2">
        <v>34</v>
      </c>
      <c r="G7" s="2" t="str">
        <f t="shared" si="1"/>
        <v>Fail</v>
      </c>
      <c r="H7" s="2" t="str" cm="1">
        <f t="array" ref="H7">_xlfn.IFS(F7&gt;=85,"Distinction",F7&gt;=60,"Pass",F7&lt;60,"Fail" )</f>
        <v>Fail</v>
      </c>
      <c r="I7" s="2" t="str">
        <f t="shared" si="0"/>
        <v>Needs Intervention</v>
      </c>
    </row>
    <row r="8" spans="1:9" x14ac:dyDescent="0.3">
      <c r="A8" s="2" t="s">
        <v>58</v>
      </c>
      <c r="B8" s="2" t="s">
        <v>59</v>
      </c>
      <c r="C8" s="2" t="s">
        <v>17</v>
      </c>
      <c r="D8" s="2">
        <v>51</v>
      </c>
      <c r="E8" s="2">
        <v>38</v>
      </c>
      <c r="F8" s="2">
        <v>30</v>
      </c>
      <c r="G8" s="2" t="str">
        <f t="shared" si="1"/>
        <v>Fail</v>
      </c>
      <c r="H8" s="2" t="str" cm="1">
        <f t="array" ref="H8">_xlfn.IFS(F8&gt;=85,"Distinction",F8&gt;=60,"Pass",F8&lt;60,"Fail" )</f>
        <v>Fail</v>
      </c>
      <c r="I8" s="2" t="str">
        <f t="shared" si="0"/>
        <v>Needs Intervention</v>
      </c>
    </row>
    <row r="9" spans="1:9" x14ac:dyDescent="0.3">
      <c r="A9" s="2" t="s">
        <v>60</v>
      </c>
      <c r="B9" s="2" t="s">
        <v>61</v>
      </c>
      <c r="C9" s="2" t="s">
        <v>14</v>
      </c>
      <c r="D9" s="2">
        <v>70</v>
      </c>
      <c r="E9" s="2">
        <v>72</v>
      </c>
      <c r="F9" s="2">
        <v>34</v>
      </c>
      <c r="G9" s="2" t="str">
        <f t="shared" si="1"/>
        <v>Fail</v>
      </c>
      <c r="H9" s="2" t="str" cm="1">
        <f t="array" ref="H9">_xlfn.IFS(F9&gt;=85,"Distinction",F9&gt;=60,"Pass",F9&lt;60,"Fail" )</f>
        <v>Fail</v>
      </c>
      <c r="I9" s="2" t="str">
        <f t="shared" si="0"/>
        <v>Needs Intervention</v>
      </c>
    </row>
    <row r="10" spans="1:9" x14ac:dyDescent="0.3">
      <c r="A10" s="2" t="s">
        <v>62</v>
      </c>
      <c r="B10" s="2" t="s">
        <v>63</v>
      </c>
      <c r="C10" s="2" t="s">
        <v>26</v>
      </c>
      <c r="D10" s="2">
        <v>82</v>
      </c>
      <c r="E10" s="2">
        <v>77</v>
      </c>
      <c r="F10" s="2">
        <v>41</v>
      </c>
      <c r="G10" s="2" t="str">
        <f t="shared" si="1"/>
        <v>Fail</v>
      </c>
      <c r="H10" s="2" t="str" cm="1">
        <f t="array" ref="H10">_xlfn.IFS(F10&gt;=85,"Distinction",F10&gt;=60,"Pass",F10&lt;60,"Fail" )</f>
        <v>Fail</v>
      </c>
      <c r="I10" s="2" t="str">
        <f t="shared" si="0"/>
        <v>Needs Intervention</v>
      </c>
    </row>
    <row r="11" spans="1:9" x14ac:dyDescent="0.3">
      <c r="A11" s="2" t="s">
        <v>90</v>
      </c>
      <c r="B11" s="2" t="s">
        <v>91</v>
      </c>
      <c r="C11" s="2" t="s">
        <v>26</v>
      </c>
      <c r="D11" s="2">
        <v>52</v>
      </c>
      <c r="E11" s="2">
        <v>94</v>
      </c>
      <c r="F11" s="2">
        <v>30</v>
      </c>
      <c r="G11" s="2" t="str">
        <f t="shared" si="1"/>
        <v>Fail</v>
      </c>
      <c r="H11" s="2" t="str" cm="1">
        <f t="array" ref="H11">_xlfn.IFS(F11&gt;=85,"Distinction",F11&gt;=60,"Pass",F11&lt;60,"Fail" )</f>
        <v>Fail</v>
      </c>
      <c r="I11" s="2" t="str">
        <f t="shared" si="0"/>
        <v>Needs Intervention</v>
      </c>
    </row>
    <row r="12" spans="1:9" x14ac:dyDescent="0.3">
      <c r="A12" s="2" t="s">
        <v>92</v>
      </c>
      <c r="B12" s="2" t="s">
        <v>93</v>
      </c>
      <c r="C12" s="2" t="s">
        <v>31</v>
      </c>
      <c r="D12" s="2">
        <v>86</v>
      </c>
      <c r="E12" s="2">
        <v>37</v>
      </c>
      <c r="F12" s="2">
        <v>37</v>
      </c>
      <c r="G12" s="2" t="str">
        <f t="shared" si="1"/>
        <v>Fail</v>
      </c>
      <c r="H12" s="2" t="str" cm="1">
        <f t="array" ref="H12">_xlfn.IFS(F12&gt;=85,"Distinction",F12&gt;=60,"Pass",F12&lt;60,"Fail" )</f>
        <v>Fail</v>
      </c>
      <c r="I12" s="2" t="str">
        <f t="shared" si="0"/>
        <v>Needs Intervention</v>
      </c>
    </row>
    <row r="13" spans="1:9" x14ac:dyDescent="0.3">
      <c r="A13" s="2" t="s">
        <v>100</v>
      </c>
      <c r="B13" s="2" t="s">
        <v>101</v>
      </c>
      <c r="C13" s="2" t="s">
        <v>17</v>
      </c>
      <c r="D13" s="2">
        <v>58</v>
      </c>
      <c r="E13" s="2">
        <v>95</v>
      </c>
      <c r="F13" s="2">
        <v>43</v>
      </c>
      <c r="G13" s="2" t="str">
        <f t="shared" si="1"/>
        <v>Fail</v>
      </c>
      <c r="H13" s="2" t="str" cm="1">
        <f t="array" ref="H13">_xlfn.IFS(F13&gt;=85,"Distinction",F13&gt;=60,"Pass",F13&lt;60,"Fail" )</f>
        <v>Fail</v>
      </c>
      <c r="I13" s="2" t="str">
        <f t="shared" si="0"/>
        <v>Needs Intervention</v>
      </c>
    </row>
    <row r="14" spans="1:9" x14ac:dyDescent="0.3">
      <c r="A14" s="2" t="s">
        <v>104</v>
      </c>
      <c r="B14" s="2" t="s">
        <v>105</v>
      </c>
      <c r="C14" s="2" t="s">
        <v>17</v>
      </c>
      <c r="D14" s="2">
        <v>67</v>
      </c>
      <c r="E14" s="2">
        <v>92</v>
      </c>
      <c r="F14" s="2">
        <v>31</v>
      </c>
      <c r="G14" s="2" t="str">
        <f t="shared" si="1"/>
        <v>Fail</v>
      </c>
      <c r="H14" s="2" t="str" cm="1">
        <f t="array" ref="H14">_xlfn.IFS(F14&gt;=85,"Distinction",F14&gt;=60,"Pass",F14&lt;60,"Fail" )</f>
        <v>Fail</v>
      </c>
      <c r="I14" s="2" t="str">
        <f t="shared" si="0"/>
        <v>Needs Intervention</v>
      </c>
    </row>
    <row r="15" spans="1:9" x14ac:dyDescent="0.3">
      <c r="A15" s="2" t="s">
        <v>108</v>
      </c>
      <c r="B15" s="2" t="s">
        <v>109</v>
      </c>
      <c r="C15" s="2" t="s">
        <v>17</v>
      </c>
      <c r="D15" s="2">
        <v>74</v>
      </c>
      <c r="E15" s="2">
        <v>54</v>
      </c>
      <c r="F15" s="2">
        <v>43</v>
      </c>
      <c r="G15" s="2" t="str">
        <f t="shared" si="1"/>
        <v>Fail</v>
      </c>
      <c r="H15" s="2" t="str" cm="1">
        <f t="array" ref="H15">_xlfn.IFS(F15&gt;=85,"Distinction",F15&gt;=60,"Pass",F15&lt;60,"Fail" )</f>
        <v>Fail</v>
      </c>
      <c r="I15" s="2" t="str">
        <f t="shared" si="0"/>
        <v>Needs Intervention</v>
      </c>
    </row>
    <row r="16" spans="1:9" x14ac:dyDescent="0.3">
      <c r="A16" s="2" t="s">
        <v>114</v>
      </c>
      <c r="B16" s="2" t="s">
        <v>115</v>
      </c>
      <c r="C16" s="2" t="s">
        <v>17</v>
      </c>
      <c r="D16" s="2">
        <v>58</v>
      </c>
      <c r="E16" s="2">
        <v>91</v>
      </c>
      <c r="F16" s="2">
        <v>36</v>
      </c>
      <c r="G16" s="2" t="str">
        <f t="shared" si="1"/>
        <v>Fail</v>
      </c>
      <c r="H16" s="2" t="str" cm="1">
        <f t="array" ref="H16">_xlfn.IFS(F16&gt;=85,"Distinction",F16&gt;=60,"Pass",F16&lt;60,"Fail" )</f>
        <v>Fail</v>
      </c>
      <c r="I16" s="2" t="str">
        <f t="shared" si="0"/>
        <v>Needs Intervention</v>
      </c>
    </row>
    <row r="17" spans="1:9" x14ac:dyDescent="0.3">
      <c r="A17" s="2" t="s">
        <v>116</v>
      </c>
      <c r="B17" s="2" t="s">
        <v>117</v>
      </c>
      <c r="C17" s="2" t="s">
        <v>17</v>
      </c>
      <c r="D17" s="2">
        <v>75</v>
      </c>
      <c r="E17" s="2">
        <v>51</v>
      </c>
      <c r="F17" s="2">
        <v>32</v>
      </c>
      <c r="G17" s="2" t="str">
        <f t="shared" si="1"/>
        <v>Fail</v>
      </c>
      <c r="H17" s="2" t="str" cm="1">
        <f t="array" ref="H17">_xlfn.IFS(F17&gt;=85,"Distinction",F17&gt;=60,"Pass",F17&lt;60,"Fail" )</f>
        <v>Fail</v>
      </c>
      <c r="I17" s="2" t="str">
        <f t="shared" si="0"/>
        <v>Needs Intervention</v>
      </c>
    </row>
    <row r="18" spans="1:9" x14ac:dyDescent="0.3">
      <c r="A18" s="2" t="s">
        <v>120</v>
      </c>
      <c r="B18" s="2" t="s">
        <v>121</v>
      </c>
      <c r="C18" s="2" t="s">
        <v>26</v>
      </c>
      <c r="D18" s="2">
        <v>69</v>
      </c>
      <c r="E18" s="2">
        <v>87</v>
      </c>
      <c r="F18" s="2">
        <v>47</v>
      </c>
      <c r="G18" s="2" t="str">
        <f t="shared" si="1"/>
        <v>Fail</v>
      </c>
      <c r="H18" s="2" t="str" cm="1">
        <f t="array" ref="H18">_xlfn.IFS(F18&gt;=85,"Distinction",F18&gt;=60,"Pass",F18&lt;60,"Fail" )</f>
        <v>Fail</v>
      </c>
      <c r="I18" s="2" t="str">
        <f t="shared" si="0"/>
        <v>Needs Intervention</v>
      </c>
    </row>
    <row r="19" spans="1:9" x14ac:dyDescent="0.3">
      <c r="A19" s="2" t="s">
        <v>124</v>
      </c>
      <c r="B19" s="2" t="s">
        <v>125</v>
      </c>
      <c r="C19" s="2" t="s">
        <v>11</v>
      </c>
      <c r="D19" s="2">
        <v>96</v>
      </c>
      <c r="E19" s="2">
        <v>81</v>
      </c>
      <c r="F19" s="2">
        <v>44</v>
      </c>
      <c r="G19" s="2" t="str">
        <f t="shared" si="1"/>
        <v>Fail</v>
      </c>
      <c r="H19" s="2" t="str" cm="1">
        <f t="array" ref="H19">_xlfn.IFS(F19&gt;=85,"Distinction",F19&gt;=60,"Pass",F19&lt;60,"Fail" )</f>
        <v>Fail</v>
      </c>
      <c r="I19" s="2" t="str">
        <f t="shared" si="0"/>
        <v>Needs Intervention</v>
      </c>
    </row>
    <row r="20" spans="1:9" x14ac:dyDescent="0.3">
      <c r="A20" s="2" t="s">
        <v>134</v>
      </c>
      <c r="B20" s="2" t="s">
        <v>135</v>
      </c>
      <c r="C20" s="2" t="s">
        <v>26</v>
      </c>
      <c r="D20" s="2">
        <v>84</v>
      </c>
      <c r="E20" s="2">
        <v>89</v>
      </c>
      <c r="F20" s="2">
        <v>46</v>
      </c>
      <c r="G20" s="2" t="str">
        <f t="shared" si="1"/>
        <v>Fail</v>
      </c>
      <c r="H20" s="2" t="str" cm="1">
        <f t="array" ref="H20">_xlfn.IFS(F20&gt;=85,"Distinction",F20&gt;=60,"Pass",F20&lt;60,"Fail" )</f>
        <v>Fail</v>
      </c>
      <c r="I20" s="2" t="str">
        <f t="shared" si="0"/>
        <v>Needs Intervention</v>
      </c>
    </row>
    <row r="21" spans="1:9" x14ac:dyDescent="0.3">
      <c r="A21" s="2" t="s">
        <v>140</v>
      </c>
      <c r="B21" s="2" t="s">
        <v>141</v>
      </c>
      <c r="C21" s="2" t="s">
        <v>11</v>
      </c>
      <c r="D21" s="2">
        <v>85</v>
      </c>
      <c r="E21" s="2">
        <v>89</v>
      </c>
      <c r="F21" s="2">
        <v>46</v>
      </c>
      <c r="G21" s="2" t="str">
        <f t="shared" si="1"/>
        <v>Fail</v>
      </c>
      <c r="H21" s="2" t="str" cm="1">
        <f t="array" ref="H21">_xlfn.IFS(F21&gt;=85,"Distinction",F21&gt;=60,"Pass",F21&lt;60,"Fail" )</f>
        <v>Fail</v>
      </c>
      <c r="I21" s="2" t="str">
        <f t="shared" si="0"/>
        <v>Needs Intervention</v>
      </c>
    </row>
    <row r="22" spans="1:9" x14ac:dyDescent="0.3">
      <c r="A22" s="2" t="s">
        <v>142</v>
      </c>
      <c r="B22" s="2" t="s">
        <v>143</v>
      </c>
      <c r="C22" s="2" t="s">
        <v>26</v>
      </c>
      <c r="D22" s="2">
        <v>99</v>
      </c>
      <c r="E22" s="2">
        <v>34</v>
      </c>
      <c r="F22" s="2">
        <v>42</v>
      </c>
      <c r="G22" s="2" t="str">
        <f t="shared" si="1"/>
        <v>Fail</v>
      </c>
      <c r="H22" s="2" t="str" cm="1">
        <f t="array" ref="H22">_xlfn.IFS(F22&gt;=85,"Distinction",F22&gt;=60,"Pass",F22&lt;60,"Fail" )</f>
        <v>Fail</v>
      </c>
      <c r="I22" s="2" t="str">
        <f t="shared" si="0"/>
        <v>Needs Intervention</v>
      </c>
    </row>
    <row r="23" spans="1:9" x14ac:dyDescent="0.3">
      <c r="A23" s="2" t="s">
        <v>148</v>
      </c>
      <c r="B23" s="2" t="s">
        <v>149</v>
      </c>
      <c r="C23" s="2" t="s">
        <v>14</v>
      </c>
      <c r="D23" s="2">
        <v>51</v>
      </c>
      <c r="E23" s="2">
        <v>76</v>
      </c>
      <c r="F23" s="2">
        <v>39</v>
      </c>
      <c r="G23" s="2" t="str">
        <f t="shared" si="1"/>
        <v>Fail</v>
      </c>
      <c r="H23" s="2" t="str" cm="1">
        <f t="array" ref="H23">_xlfn.IFS(F23&gt;=85,"Distinction",F23&gt;=60,"Pass",F23&lt;60,"Fail" )</f>
        <v>Fail</v>
      </c>
      <c r="I23" s="2" t="str">
        <f t="shared" si="0"/>
        <v>Needs Intervention</v>
      </c>
    </row>
    <row r="24" spans="1:9" x14ac:dyDescent="0.3">
      <c r="A24" s="2" t="s">
        <v>152</v>
      </c>
      <c r="B24" s="2" t="s">
        <v>153</v>
      </c>
      <c r="C24" s="2" t="s">
        <v>17</v>
      </c>
      <c r="D24" s="2">
        <v>91</v>
      </c>
      <c r="E24" s="2">
        <v>69</v>
      </c>
      <c r="F24" s="2">
        <v>47</v>
      </c>
      <c r="G24" s="2" t="str">
        <f t="shared" si="1"/>
        <v>Fail</v>
      </c>
      <c r="H24" s="2" t="str" cm="1">
        <f t="array" ref="H24">_xlfn.IFS(F24&gt;=85,"Distinction",F24&gt;=60,"Pass",F24&lt;60,"Fail" )</f>
        <v>Fail</v>
      </c>
      <c r="I24" s="2" t="str">
        <f t="shared" si="0"/>
        <v>Needs Intervention</v>
      </c>
    </row>
    <row r="25" spans="1:9" x14ac:dyDescent="0.3">
      <c r="A25" s="2" t="s">
        <v>156</v>
      </c>
      <c r="B25" s="2" t="s">
        <v>157</v>
      </c>
      <c r="C25" s="2" t="s">
        <v>26</v>
      </c>
      <c r="D25" s="2">
        <v>78</v>
      </c>
      <c r="E25" s="2">
        <v>45</v>
      </c>
      <c r="F25" s="2">
        <v>37</v>
      </c>
      <c r="G25" s="2" t="str">
        <f t="shared" si="1"/>
        <v>Fail</v>
      </c>
      <c r="H25" s="2" t="str" cm="1">
        <f t="array" ref="H25">_xlfn.IFS(F25&gt;=85,"Distinction",F25&gt;=60,"Pass",F25&lt;60,"Fail" )</f>
        <v>Fail</v>
      </c>
      <c r="I25" s="2" t="str">
        <f t="shared" si="0"/>
        <v>Needs Intervention</v>
      </c>
    </row>
    <row r="26" spans="1:9" x14ac:dyDescent="0.3">
      <c r="A26" s="2" t="s">
        <v>164</v>
      </c>
      <c r="B26" s="2" t="s">
        <v>165</v>
      </c>
      <c r="C26" s="2" t="s">
        <v>17</v>
      </c>
      <c r="D26" s="2">
        <v>83</v>
      </c>
      <c r="E26" s="2">
        <v>46</v>
      </c>
      <c r="F26" s="2">
        <v>35</v>
      </c>
      <c r="G26" s="2" t="str">
        <f t="shared" si="1"/>
        <v>Fail</v>
      </c>
      <c r="H26" s="2" t="str" cm="1">
        <f t="array" ref="H26">_xlfn.IFS(F26&gt;=85,"Distinction",F26&gt;=60,"Pass",F26&lt;60,"Fail" )</f>
        <v>Fail</v>
      </c>
      <c r="I26" s="2" t="str">
        <f t="shared" si="0"/>
        <v>Needs Intervention</v>
      </c>
    </row>
    <row r="27" spans="1:9" x14ac:dyDescent="0.3">
      <c r="A27" s="2" t="s">
        <v>192</v>
      </c>
      <c r="B27" s="2" t="s">
        <v>193</v>
      </c>
      <c r="C27" s="2" t="s">
        <v>14</v>
      </c>
      <c r="D27" s="2">
        <v>67</v>
      </c>
      <c r="E27" s="2">
        <v>30</v>
      </c>
      <c r="F27" s="2">
        <v>33</v>
      </c>
      <c r="G27" s="2" t="str">
        <f t="shared" si="1"/>
        <v>Fail</v>
      </c>
      <c r="H27" s="2" t="str" cm="1">
        <f t="array" ref="H27">_xlfn.IFS(F27&gt;=85,"Distinction",F27&gt;=60,"Pass",F27&lt;60,"Fail" )</f>
        <v>Fail</v>
      </c>
      <c r="I27" s="2" t="str">
        <f t="shared" si="0"/>
        <v>Needs Intervention</v>
      </c>
    </row>
    <row r="28" spans="1:9" x14ac:dyDescent="0.3">
      <c r="A28" s="2" t="s">
        <v>202</v>
      </c>
      <c r="B28" s="2" t="s">
        <v>203</v>
      </c>
      <c r="C28" s="2" t="s">
        <v>14</v>
      </c>
      <c r="D28" s="2">
        <v>94</v>
      </c>
      <c r="E28" s="2">
        <v>98</v>
      </c>
      <c r="F28" s="2">
        <v>38</v>
      </c>
      <c r="G28" s="2" t="str">
        <f t="shared" si="1"/>
        <v>Fail</v>
      </c>
      <c r="H28" s="2" t="str" cm="1">
        <f t="array" ref="H28">_xlfn.IFS(F28&gt;=85,"Distinction",F28&gt;=60,"Pass",F28&lt;60,"Fail" )</f>
        <v>Fail</v>
      </c>
      <c r="I28" s="2" t="str">
        <f t="shared" si="0"/>
        <v>Needs Intervention</v>
      </c>
    </row>
    <row r="29" spans="1:9" x14ac:dyDescent="0.3">
      <c r="A29" s="2" t="s">
        <v>204</v>
      </c>
      <c r="B29" s="2" t="s">
        <v>205</v>
      </c>
      <c r="C29" s="2" t="s">
        <v>17</v>
      </c>
      <c r="D29" s="2">
        <v>90</v>
      </c>
      <c r="E29" s="2">
        <v>51</v>
      </c>
      <c r="F29" s="2">
        <v>32</v>
      </c>
      <c r="G29" s="2" t="str">
        <f t="shared" si="1"/>
        <v>Fail</v>
      </c>
      <c r="H29" s="2" t="str" cm="1">
        <f t="array" ref="H29">_xlfn.IFS(F29&gt;=85,"Distinction",F29&gt;=60,"Pass",F29&lt;60,"Fail" )</f>
        <v>Fail</v>
      </c>
      <c r="I29" s="2" t="str">
        <f t="shared" si="0"/>
        <v>Needs Intervention</v>
      </c>
    </row>
    <row r="30" spans="1:9" x14ac:dyDescent="0.3">
      <c r="A30" s="2" t="s">
        <v>214</v>
      </c>
      <c r="B30" s="2" t="s">
        <v>215</v>
      </c>
      <c r="C30" s="2" t="s">
        <v>14</v>
      </c>
      <c r="D30" s="2">
        <v>74</v>
      </c>
      <c r="E30" s="2">
        <v>86</v>
      </c>
      <c r="F30" s="2">
        <v>35</v>
      </c>
      <c r="G30" s="2" t="str">
        <f t="shared" si="1"/>
        <v>Fail</v>
      </c>
      <c r="H30" s="2" t="str" cm="1">
        <f t="array" ref="H30">_xlfn.IFS(F30&gt;=85,"Distinction",F30&gt;=60,"Pass",F30&lt;60,"Fail" )</f>
        <v>Fail</v>
      </c>
      <c r="I30" s="2" t="str">
        <f t="shared" si="0"/>
        <v>Needs Intervention</v>
      </c>
    </row>
    <row r="31" spans="1:9" x14ac:dyDescent="0.3">
      <c r="A31" s="2" t="s">
        <v>218</v>
      </c>
      <c r="B31" s="2" t="s">
        <v>219</v>
      </c>
      <c r="C31" s="2" t="s">
        <v>11</v>
      </c>
      <c r="D31" s="2">
        <v>58</v>
      </c>
      <c r="E31" s="2">
        <v>98</v>
      </c>
      <c r="F31" s="2">
        <v>33</v>
      </c>
      <c r="G31" s="2" t="str">
        <f t="shared" si="1"/>
        <v>Fail</v>
      </c>
      <c r="H31" s="2" t="str" cm="1">
        <f t="array" ref="H31">_xlfn.IFS(F31&gt;=85,"Distinction",F31&gt;=60,"Pass",F31&lt;60,"Fail" )</f>
        <v>Fail</v>
      </c>
      <c r="I31" s="2" t="str">
        <f t="shared" si="0"/>
        <v>Needs Intervention</v>
      </c>
    </row>
    <row r="32" spans="1:9" x14ac:dyDescent="0.3">
      <c r="A32" s="2" t="s">
        <v>220</v>
      </c>
      <c r="B32" s="2" t="s">
        <v>221</v>
      </c>
      <c r="C32" s="2" t="s">
        <v>31</v>
      </c>
      <c r="D32" s="2">
        <v>73</v>
      </c>
      <c r="E32" s="2">
        <v>76</v>
      </c>
      <c r="F32" s="2">
        <v>35</v>
      </c>
      <c r="G32" s="2" t="str">
        <f t="shared" si="1"/>
        <v>Fail</v>
      </c>
      <c r="H32" s="2" t="str" cm="1">
        <f t="array" ref="H32">_xlfn.IFS(F32&gt;=85,"Distinction",F32&gt;=60,"Pass",F32&lt;60,"Fail" )</f>
        <v>Fail</v>
      </c>
      <c r="I32" s="2" t="str">
        <f t="shared" si="0"/>
        <v>Needs Intervention</v>
      </c>
    </row>
    <row r="33" spans="1:9" x14ac:dyDescent="0.3">
      <c r="A33" s="2" t="s">
        <v>230</v>
      </c>
      <c r="B33" s="2" t="s">
        <v>231</v>
      </c>
      <c r="C33" s="2" t="s">
        <v>31</v>
      </c>
      <c r="D33" s="2">
        <v>60</v>
      </c>
      <c r="E33" s="2">
        <v>68</v>
      </c>
      <c r="F33" s="2">
        <v>37</v>
      </c>
      <c r="G33" s="2" t="str">
        <f t="shared" si="1"/>
        <v>Fail</v>
      </c>
      <c r="H33" s="2" t="str" cm="1">
        <f t="array" ref="H33">_xlfn.IFS(F33&gt;=85,"Distinction",F33&gt;=60,"Pass",F33&lt;60,"Fail" )</f>
        <v>Fail</v>
      </c>
      <c r="I33" s="2" t="str">
        <f t="shared" si="0"/>
        <v>Needs Intervention</v>
      </c>
    </row>
    <row r="34" spans="1:9" x14ac:dyDescent="0.3">
      <c r="A34" s="2" t="s">
        <v>240</v>
      </c>
      <c r="B34" s="2" t="s">
        <v>241</v>
      </c>
      <c r="C34" s="2" t="s">
        <v>14</v>
      </c>
      <c r="D34" s="2">
        <v>84</v>
      </c>
      <c r="E34" s="2">
        <v>63</v>
      </c>
      <c r="F34" s="2">
        <v>34</v>
      </c>
      <c r="G34" s="2" t="str">
        <f t="shared" si="1"/>
        <v>Fail</v>
      </c>
      <c r="H34" s="2" t="str" cm="1">
        <f t="array" ref="H34">_xlfn.IFS(F34&gt;=85,"Distinction",F34&gt;=60,"Pass",F34&lt;60,"Fail" )</f>
        <v>Fail</v>
      </c>
      <c r="I34" s="2" t="str">
        <f t="shared" si="0"/>
        <v>Needs Intervention</v>
      </c>
    </row>
    <row r="35" spans="1:9" x14ac:dyDescent="0.3">
      <c r="A35" s="2" t="s">
        <v>248</v>
      </c>
      <c r="B35" s="2" t="s">
        <v>249</v>
      </c>
      <c r="C35" s="2" t="s">
        <v>11</v>
      </c>
      <c r="D35" s="2">
        <v>88</v>
      </c>
      <c r="E35" s="2">
        <v>87</v>
      </c>
      <c r="F35" s="2">
        <v>48</v>
      </c>
      <c r="G35" s="2" t="str">
        <f t="shared" si="1"/>
        <v>Fail</v>
      </c>
      <c r="H35" s="2" t="str" cm="1">
        <f t="array" ref="H35">_xlfn.IFS(F35&gt;=85,"Distinction",F35&gt;=60,"Pass",F35&lt;60,"Fail" )</f>
        <v>Fail</v>
      </c>
      <c r="I35" s="2" t="str">
        <f t="shared" si="0"/>
        <v>Needs Intervention</v>
      </c>
    </row>
    <row r="36" spans="1:9" x14ac:dyDescent="0.3">
      <c r="A36" s="2" t="s">
        <v>250</v>
      </c>
      <c r="B36" s="2" t="s">
        <v>251</v>
      </c>
      <c r="C36" s="2" t="s">
        <v>11</v>
      </c>
      <c r="D36" s="2">
        <v>90</v>
      </c>
      <c r="E36" s="2">
        <v>30</v>
      </c>
      <c r="F36" s="2">
        <v>49</v>
      </c>
      <c r="G36" s="2" t="str">
        <f t="shared" si="1"/>
        <v>Fail</v>
      </c>
      <c r="H36" s="2" t="str" cm="1">
        <f t="array" ref="H36">_xlfn.IFS(F36&gt;=85,"Distinction",F36&gt;=60,"Pass",F36&lt;60,"Fail" )</f>
        <v>Fail</v>
      </c>
      <c r="I36" s="2" t="str">
        <f t="shared" si="0"/>
        <v>Needs Intervention</v>
      </c>
    </row>
    <row r="37" spans="1:9" x14ac:dyDescent="0.3">
      <c r="A37" s="2" t="s">
        <v>252</v>
      </c>
      <c r="B37" s="2" t="s">
        <v>253</v>
      </c>
      <c r="C37" s="2" t="s">
        <v>14</v>
      </c>
      <c r="D37" s="2">
        <v>77</v>
      </c>
      <c r="E37" s="2">
        <v>98</v>
      </c>
      <c r="F37" s="2">
        <v>41</v>
      </c>
      <c r="G37" s="2" t="str">
        <f t="shared" si="1"/>
        <v>Fail</v>
      </c>
      <c r="H37" s="2" t="str" cm="1">
        <f t="array" ref="H37">_xlfn.IFS(F37&gt;=85,"Distinction",F37&gt;=60,"Pass",F37&lt;60,"Fail" )</f>
        <v>Fail</v>
      </c>
      <c r="I37" s="2" t="str">
        <f t="shared" si="0"/>
        <v>Needs Intervention</v>
      </c>
    </row>
    <row r="38" spans="1:9" x14ac:dyDescent="0.3">
      <c r="A38" s="2" t="s">
        <v>256</v>
      </c>
      <c r="B38" s="2" t="s">
        <v>257</v>
      </c>
      <c r="C38" s="2" t="s">
        <v>31</v>
      </c>
      <c r="D38" s="2">
        <v>58</v>
      </c>
      <c r="E38" s="2">
        <v>45</v>
      </c>
      <c r="F38" s="2">
        <v>30</v>
      </c>
      <c r="G38" s="2" t="str">
        <f t="shared" si="1"/>
        <v>Fail</v>
      </c>
      <c r="H38" s="2" t="str" cm="1">
        <f t="array" ref="H38">_xlfn.IFS(F38&gt;=85,"Distinction",F38&gt;=60,"Pass",F38&lt;60,"Fail" )</f>
        <v>Fail</v>
      </c>
      <c r="I38" s="2" t="str">
        <f t="shared" si="0"/>
        <v>Needs Intervention</v>
      </c>
    </row>
    <row r="39" spans="1:9" x14ac:dyDescent="0.3">
      <c r="A39" s="2" t="s">
        <v>258</v>
      </c>
      <c r="B39" s="2" t="s">
        <v>259</v>
      </c>
      <c r="C39" s="2" t="s">
        <v>11</v>
      </c>
      <c r="D39" s="2">
        <v>57</v>
      </c>
      <c r="E39" s="2">
        <v>53</v>
      </c>
      <c r="F39" s="2">
        <v>43</v>
      </c>
      <c r="G39" s="2" t="str">
        <f t="shared" si="1"/>
        <v>Fail</v>
      </c>
      <c r="H39" s="2" t="str" cm="1">
        <f t="array" ref="H39">_xlfn.IFS(F39&gt;=85,"Distinction",F39&gt;=60,"Pass",F39&lt;60,"Fail" )</f>
        <v>Fail</v>
      </c>
      <c r="I39" s="2" t="str">
        <f t="shared" si="0"/>
        <v>Needs Intervention</v>
      </c>
    </row>
    <row r="40" spans="1:9" x14ac:dyDescent="0.3">
      <c r="A40" s="2" t="s">
        <v>266</v>
      </c>
      <c r="B40" s="2" t="s">
        <v>267</v>
      </c>
      <c r="C40" s="2" t="s">
        <v>14</v>
      </c>
      <c r="D40" s="2">
        <v>97</v>
      </c>
      <c r="E40" s="2">
        <v>41</v>
      </c>
      <c r="F40" s="2">
        <v>40</v>
      </c>
      <c r="G40" s="2" t="str">
        <f t="shared" si="1"/>
        <v>Fail</v>
      </c>
      <c r="H40" s="2" t="str" cm="1">
        <f t="array" ref="H40">_xlfn.IFS(F40&gt;=85,"Distinction",F40&gt;=60,"Pass",F40&lt;60,"Fail" )</f>
        <v>Fail</v>
      </c>
      <c r="I40" s="2" t="str">
        <f t="shared" si="0"/>
        <v>Needs Intervention</v>
      </c>
    </row>
    <row r="41" spans="1:9" x14ac:dyDescent="0.3">
      <c r="A41" s="2" t="s">
        <v>268</v>
      </c>
      <c r="B41" s="2" t="s">
        <v>269</v>
      </c>
      <c r="C41" s="2" t="s">
        <v>26</v>
      </c>
      <c r="D41" s="2">
        <v>72</v>
      </c>
      <c r="E41" s="2">
        <v>79</v>
      </c>
      <c r="F41" s="2">
        <v>32</v>
      </c>
      <c r="G41" s="2" t="str">
        <f t="shared" si="1"/>
        <v>Fail</v>
      </c>
      <c r="H41" s="2" t="str" cm="1">
        <f t="array" ref="H41">_xlfn.IFS(F41&gt;=85,"Distinction",F41&gt;=60,"Pass",F41&lt;60,"Fail" )</f>
        <v>Fail</v>
      </c>
      <c r="I41" s="2" t="str">
        <f t="shared" si="0"/>
        <v>Needs Intervention</v>
      </c>
    </row>
    <row r="42" spans="1:9" x14ac:dyDescent="0.3">
      <c r="A42" s="2" t="s">
        <v>272</v>
      </c>
      <c r="B42" s="2" t="s">
        <v>273</v>
      </c>
      <c r="C42" s="2" t="s">
        <v>26</v>
      </c>
      <c r="D42" s="2">
        <v>86</v>
      </c>
      <c r="E42" s="2">
        <v>62</v>
      </c>
      <c r="F42" s="2">
        <v>35</v>
      </c>
      <c r="G42" s="2" t="str">
        <f t="shared" si="1"/>
        <v>Fail</v>
      </c>
      <c r="H42" s="2" t="str" cm="1">
        <f t="array" ref="H42">_xlfn.IFS(F42&gt;=85,"Distinction",F42&gt;=60,"Pass",F42&lt;60,"Fail" )</f>
        <v>Fail</v>
      </c>
      <c r="I42" s="2" t="str">
        <f t="shared" si="0"/>
        <v>Needs Intervention</v>
      </c>
    </row>
    <row r="43" spans="1:9" x14ac:dyDescent="0.3">
      <c r="A43" s="2" t="s">
        <v>276</v>
      </c>
      <c r="B43" s="2" t="s">
        <v>277</v>
      </c>
      <c r="C43" s="2" t="s">
        <v>14</v>
      </c>
      <c r="D43" s="2">
        <v>93</v>
      </c>
      <c r="E43" s="2">
        <v>90</v>
      </c>
      <c r="F43" s="2">
        <v>39</v>
      </c>
      <c r="G43" s="2" t="str">
        <f t="shared" si="1"/>
        <v>Fail</v>
      </c>
      <c r="H43" s="2" t="str" cm="1">
        <f t="array" ref="H43">_xlfn.IFS(F43&gt;=85,"Distinction",F43&gt;=60,"Pass",F43&lt;60,"Fail" )</f>
        <v>Fail</v>
      </c>
      <c r="I43" s="2" t="str">
        <f t="shared" si="0"/>
        <v>Needs Intervention</v>
      </c>
    </row>
    <row r="44" spans="1:9" x14ac:dyDescent="0.3">
      <c r="A44" s="2" t="s">
        <v>278</v>
      </c>
      <c r="B44" s="2" t="s">
        <v>279</v>
      </c>
      <c r="C44" s="2" t="s">
        <v>26</v>
      </c>
      <c r="D44" s="2">
        <v>89</v>
      </c>
      <c r="E44" s="2">
        <v>80</v>
      </c>
      <c r="F44" s="2">
        <v>34</v>
      </c>
      <c r="G44" s="2" t="str">
        <f t="shared" si="1"/>
        <v>Fail</v>
      </c>
      <c r="H44" s="2" t="str" cm="1">
        <f t="array" ref="H44">_xlfn.IFS(F44&gt;=85,"Distinction",F44&gt;=60,"Pass",F44&lt;60,"Fail" )</f>
        <v>Fail</v>
      </c>
      <c r="I44" s="2" t="str">
        <f t="shared" si="0"/>
        <v>Needs Intervention</v>
      </c>
    </row>
    <row r="45" spans="1:9" x14ac:dyDescent="0.3">
      <c r="A45" s="2" t="s">
        <v>282</v>
      </c>
      <c r="B45" s="2" t="s">
        <v>283</v>
      </c>
      <c r="C45" s="2" t="s">
        <v>14</v>
      </c>
      <c r="D45" s="2">
        <v>76</v>
      </c>
      <c r="E45" s="2">
        <v>41</v>
      </c>
      <c r="F45" s="2">
        <v>39</v>
      </c>
      <c r="G45" s="2" t="str">
        <f t="shared" si="1"/>
        <v>Fail</v>
      </c>
      <c r="H45" s="2" t="str" cm="1">
        <f t="array" ref="H45">_xlfn.IFS(F45&gt;=85,"Distinction",F45&gt;=60,"Pass",F45&lt;60,"Fail" )</f>
        <v>Fail</v>
      </c>
      <c r="I45" s="2" t="str">
        <f t="shared" si="0"/>
        <v>Needs Intervention</v>
      </c>
    </row>
    <row r="46" spans="1:9" x14ac:dyDescent="0.3">
      <c r="A46" s="2" t="s">
        <v>286</v>
      </c>
      <c r="B46" s="2" t="s">
        <v>287</v>
      </c>
      <c r="C46" s="2" t="s">
        <v>14</v>
      </c>
      <c r="D46" s="2">
        <v>50</v>
      </c>
      <c r="E46" s="2">
        <v>94</v>
      </c>
      <c r="F46" s="2">
        <v>31</v>
      </c>
      <c r="G46" s="2" t="str">
        <f t="shared" si="1"/>
        <v>Fail</v>
      </c>
      <c r="H46" s="2" t="str" cm="1">
        <f t="array" ref="H46">_xlfn.IFS(F46&gt;=85,"Distinction",F46&gt;=60,"Pass",F46&lt;60,"Fail" )</f>
        <v>Fail</v>
      </c>
      <c r="I46" s="2" t="str">
        <f t="shared" si="0"/>
        <v>Needs Intervention</v>
      </c>
    </row>
    <row r="47" spans="1:9" x14ac:dyDescent="0.3">
      <c r="A47" s="2" t="s">
        <v>288</v>
      </c>
      <c r="B47" s="2" t="s">
        <v>289</v>
      </c>
      <c r="C47" s="2" t="s">
        <v>11</v>
      </c>
      <c r="D47" s="2">
        <v>84</v>
      </c>
      <c r="E47" s="2">
        <v>62</v>
      </c>
      <c r="F47" s="2">
        <v>42</v>
      </c>
      <c r="G47" s="2" t="str">
        <f t="shared" si="1"/>
        <v>Fail</v>
      </c>
      <c r="H47" s="2" t="str" cm="1">
        <f t="array" ref="H47">_xlfn.IFS(F47&gt;=85,"Distinction",F47&gt;=60,"Pass",F47&lt;60,"Fail" )</f>
        <v>Fail</v>
      </c>
      <c r="I47" s="2" t="str">
        <f t="shared" si="0"/>
        <v>Needs Intervention</v>
      </c>
    </row>
    <row r="48" spans="1:9" x14ac:dyDescent="0.3">
      <c r="A48" s="2" t="s">
        <v>292</v>
      </c>
      <c r="B48" s="2" t="s">
        <v>293</v>
      </c>
      <c r="C48" s="2" t="s">
        <v>14</v>
      </c>
      <c r="D48" s="2">
        <v>96</v>
      </c>
      <c r="E48" s="2">
        <v>72</v>
      </c>
      <c r="F48" s="2">
        <v>31</v>
      </c>
      <c r="G48" s="2" t="str">
        <f t="shared" si="1"/>
        <v>Fail</v>
      </c>
      <c r="H48" s="2" t="str" cm="1">
        <f t="array" ref="H48">_xlfn.IFS(F48&gt;=85,"Distinction",F48&gt;=60,"Pass",F48&lt;60,"Fail" )</f>
        <v>Fail</v>
      </c>
      <c r="I48" s="2" t="str">
        <f t="shared" si="0"/>
        <v>Needs Intervention</v>
      </c>
    </row>
    <row r="49" spans="1:9" x14ac:dyDescent="0.3">
      <c r="A49" s="2" t="s">
        <v>298</v>
      </c>
      <c r="B49" s="2" t="s">
        <v>299</v>
      </c>
      <c r="C49" s="2" t="s">
        <v>17</v>
      </c>
      <c r="D49" s="2">
        <v>50</v>
      </c>
      <c r="E49" s="2">
        <v>42</v>
      </c>
      <c r="F49" s="2">
        <v>46</v>
      </c>
      <c r="G49" s="2" t="str">
        <f t="shared" si="1"/>
        <v>Fail</v>
      </c>
      <c r="H49" s="2" t="str" cm="1">
        <f t="array" ref="H49">_xlfn.IFS(F49&gt;=85,"Distinction",F49&gt;=60,"Pass",F49&lt;60,"Fail" )</f>
        <v>Fail</v>
      </c>
      <c r="I49" s="2" t="str">
        <f t="shared" si="0"/>
        <v>Needs Intervention</v>
      </c>
    </row>
    <row r="50" spans="1:9" x14ac:dyDescent="0.3">
      <c r="A50" s="2" t="s">
        <v>300</v>
      </c>
      <c r="B50" s="2" t="s">
        <v>301</v>
      </c>
      <c r="C50" s="2" t="s">
        <v>26</v>
      </c>
      <c r="D50" s="2">
        <v>54</v>
      </c>
      <c r="E50" s="2">
        <v>41</v>
      </c>
      <c r="F50" s="2">
        <v>38</v>
      </c>
      <c r="G50" s="2" t="str">
        <f t="shared" si="1"/>
        <v>Fail</v>
      </c>
      <c r="H50" s="2" t="str" cm="1">
        <f t="array" ref="H50">_xlfn.IFS(F50&gt;=85,"Distinction",F50&gt;=60,"Pass",F50&lt;60,"Fail" )</f>
        <v>Fail</v>
      </c>
      <c r="I50" s="2" t="str">
        <f t="shared" si="0"/>
        <v>Needs Intervention</v>
      </c>
    </row>
    <row r="51" spans="1:9" x14ac:dyDescent="0.3">
      <c r="A51" s="2" t="s">
        <v>302</v>
      </c>
      <c r="B51" s="2" t="s">
        <v>303</v>
      </c>
      <c r="C51" s="2" t="s">
        <v>31</v>
      </c>
      <c r="D51" s="2">
        <v>75</v>
      </c>
      <c r="E51" s="2">
        <v>75</v>
      </c>
      <c r="F51" s="2">
        <v>44</v>
      </c>
      <c r="G51" s="2" t="str">
        <f t="shared" si="1"/>
        <v>Fail</v>
      </c>
      <c r="H51" s="2" t="str" cm="1">
        <f t="array" ref="H51">_xlfn.IFS(F51&gt;=85,"Distinction",F51&gt;=60,"Pass",F51&lt;60,"Fail" )</f>
        <v>Fail</v>
      </c>
      <c r="I51" s="2" t="str">
        <f t="shared" si="0"/>
        <v>Needs Intervention</v>
      </c>
    </row>
    <row r="52" spans="1:9" x14ac:dyDescent="0.3">
      <c r="A52" s="2" t="s">
        <v>320</v>
      </c>
      <c r="B52" s="2" t="s">
        <v>321</v>
      </c>
      <c r="C52" s="2" t="s">
        <v>31</v>
      </c>
      <c r="D52" s="2">
        <v>62</v>
      </c>
      <c r="E52" s="2">
        <v>58</v>
      </c>
      <c r="F52" s="2">
        <v>38</v>
      </c>
      <c r="G52" s="2" t="str">
        <f t="shared" si="1"/>
        <v>Fail</v>
      </c>
      <c r="H52" s="2" t="str" cm="1">
        <f t="array" ref="H52">_xlfn.IFS(F52&gt;=85,"Distinction",F52&gt;=60,"Pass",F52&lt;60,"Fail" )</f>
        <v>Fail</v>
      </c>
      <c r="I52" s="2" t="str">
        <f t="shared" si="0"/>
        <v>Needs Intervention</v>
      </c>
    </row>
    <row r="53" spans="1:9" x14ac:dyDescent="0.3">
      <c r="A53" s="2" t="s">
        <v>326</v>
      </c>
      <c r="B53" s="2" t="s">
        <v>327</v>
      </c>
      <c r="C53" s="2" t="s">
        <v>17</v>
      </c>
      <c r="D53" s="2">
        <v>88</v>
      </c>
      <c r="E53" s="2">
        <v>65</v>
      </c>
      <c r="F53" s="2">
        <v>30</v>
      </c>
      <c r="G53" s="2" t="str">
        <f t="shared" si="1"/>
        <v>Fail</v>
      </c>
      <c r="H53" s="2" t="str" cm="1">
        <f t="array" ref="H53">_xlfn.IFS(F53&gt;=85,"Distinction",F53&gt;=60,"Pass",F53&lt;60,"Fail" )</f>
        <v>Fail</v>
      </c>
      <c r="I53" s="2" t="str">
        <f t="shared" si="0"/>
        <v>Needs Intervention</v>
      </c>
    </row>
    <row r="54" spans="1:9" x14ac:dyDescent="0.3">
      <c r="A54" s="2" t="s">
        <v>338</v>
      </c>
      <c r="B54" s="2" t="s">
        <v>339</v>
      </c>
      <c r="C54" s="2" t="s">
        <v>17</v>
      </c>
      <c r="D54" s="2">
        <v>72</v>
      </c>
      <c r="E54" s="2">
        <v>53</v>
      </c>
      <c r="F54" s="2">
        <v>40</v>
      </c>
      <c r="G54" s="2" t="str">
        <f t="shared" si="1"/>
        <v>Fail</v>
      </c>
      <c r="H54" s="2" t="str" cm="1">
        <f t="array" ref="H54">_xlfn.IFS(F54&gt;=85,"Distinction",F54&gt;=60,"Pass",F54&lt;60,"Fail" )</f>
        <v>Fail</v>
      </c>
      <c r="I54" s="2" t="str">
        <f t="shared" si="0"/>
        <v>Needs Intervention</v>
      </c>
    </row>
    <row r="55" spans="1:9" x14ac:dyDescent="0.3">
      <c r="A55" s="2" t="s">
        <v>340</v>
      </c>
      <c r="B55" s="2" t="s">
        <v>341</v>
      </c>
      <c r="C55" s="2" t="s">
        <v>26</v>
      </c>
      <c r="D55" s="2">
        <v>88</v>
      </c>
      <c r="E55" s="2">
        <v>52</v>
      </c>
      <c r="F55" s="2">
        <v>43</v>
      </c>
      <c r="G55" s="2" t="str">
        <f t="shared" si="1"/>
        <v>Fail</v>
      </c>
      <c r="H55" s="2" t="str" cm="1">
        <f t="array" ref="H55">_xlfn.IFS(F55&gt;=85,"Distinction",F55&gt;=60,"Pass",F55&lt;60,"Fail" )</f>
        <v>Fail</v>
      </c>
      <c r="I55" s="2" t="str">
        <f t="shared" si="0"/>
        <v>Needs Intervention</v>
      </c>
    </row>
    <row r="56" spans="1:9" x14ac:dyDescent="0.3">
      <c r="A56" s="2" t="s">
        <v>350</v>
      </c>
      <c r="B56" s="2" t="s">
        <v>351</v>
      </c>
      <c r="C56" s="2" t="s">
        <v>17</v>
      </c>
      <c r="D56" s="2">
        <v>85</v>
      </c>
      <c r="E56" s="2">
        <v>42</v>
      </c>
      <c r="F56" s="2">
        <v>34</v>
      </c>
      <c r="G56" s="2" t="str">
        <f t="shared" si="1"/>
        <v>Fail</v>
      </c>
      <c r="H56" s="2" t="str" cm="1">
        <f t="array" ref="H56">_xlfn.IFS(F56&gt;=85,"Distinction",F56&gt;=60,"Pass",F56&lt;60,"Fail" )</f>
        <v>Fail</v>
      </c>
      <c r="I56" s="2" t="str">
        <f t="shared" si="0"/>
        <v>Needs Intervention</v>
      </c>
    </row>
    <row r="57" spans="1:9" x14ac:dyDescent="0.3">
      <c r="A57" s="2" t="s">
        <v>356</v>
      </c>
      <c r="B57" s="2" t="s">
        <v>357</v>
      </c>
      <c r="C57" s="2" t="s">
        <v>31</v>
      </c>
      <c r="D57" s="2">
        <v>56</v>
      </c>
      <c r="E57" s="2">
        <v>46</v>
      </c>
      <c r="F57" s="2">
        <v>33</v>
      </c>
      <c r="G57" s="2" t="str">
        <f t="shared" si="1"/>
        <v>Fail</v>
      </c>
      <c r="H57" s="2" t="str" cm="1">
        <f t="array" ref="H57">_xlfn.IFS(F57&gt;=85,"Distinction",F57&gt;=60,"Pass",F57&lt;60,"Fail" )</f>
        <v>Fail</v>
      </c>
      <c r="I57" s="2" t="str">
        <f t="shared" si="0"/>
        <v>Needs Intervention</v>
      </c>
    </row>
    <row r="58" spans="1:9" x14ac:dyDescent="0.3">
      <c r="A58" s="2" t="s">
        <v>360</v>
      </c>
      <c r="B58" s="2" t="s">
        <v>361</v>
      </c>
      <c r="C58" s="2" t="s">
        <v>11</v>
      </c>
      <c r="D58" s="2">
        <v>71</v>
      </c>
      <c r="E58" s="2">
        <v>42</v>
      </c>
      <c r="F58" s="2">
        <v>47</v>
      </c>
      <c r="G58" s="2" t="str">
        <f t="shared" si="1"/>
        <v>Fail</v>
      </c>
      <c r="H58" s="2" t="str" cm="1">
        <f t="array" ref="H58">_xlfn.IFS(F58&gt;=85,"Distinction",F58&gt;=60,"Pass",F58&lt;60,"Fail" )</f>
        <v>Fail</v>
      </c>
      <c r="I58" s="2" t="str">
        <f t="shared" si="0"/>
        <v>Needs Intervention</v>
      </c>
    </row>
    <row r="59" spans="1:9" x14ac:dyDescent="0.3">
      <c r="A59" s="2" t="s">
        <v>366</v>
      </c>
      <c r="B59" s="2" t="s">
        <v>367</v>
      </c>
      <c r="C59" s="2" t="s">
        <v>14</v>
      </c>
      <c r="D59" s="2">
        <v>91</v>
      </c>
      <c r="E59" s="2">
        <v>78</v>
      </c>
      <c r="F59" s="2">
        <v>43</v>
      </c>
      <c r="G59" s="2" t="str">
        <f t="shared" si="1"/>
        <v>Fail</v>
      </c>
      <c r="H59" s="2" t="str" cm="1">
        <f t="array" ref="H59">_xlfn.IFS(F59&gt;=85,"Distinction",F59&gt;=60,"Pass",F59&lt;60,"Fail" )</f>
        <v>Fail</v>
      </c>
      <c r="I59" s="2" t="str">
        <f t="shared" si="0"/>
        <v>Needs Intervention</v>
      </c>
    </row>
    <row r="60" spans="1:9" x14ac:dyDescent="0.3">
      <c r="A60" s="2" t="s">
        <v>378</v>
      </c>
      <c r="B60" s="2" t="s">
        <v>379</v>
      </c>
      <c r="C60" s="2" t="s">
        <v>26</v>
      </c>
      <c r="D60" s="2">
        <v>93</v>
      </c>
      <c r="E60" s="2">
        <v>57</v>
      </c>
      <c r="F60" s="2">
        <v>44</v>
      </c>
      <c r="G60" s="2" t="str">
        <f t="shared" si="1"/>
        <v>Fail</v>
      </c>
      <c r="H60" s="2" t="str" cm="1">
        <f t="array" ref="H60">_xlfn.IFS(F60&gt;=85,"Distinction",F60&gt;=60,"Pass",F60&lt;60,"Fail" )</f>
        <v>Fail</v>
      </c>
      <c r="I60" s="2" t="str">
        <f t="shared" si="0"/>
        <v>Needs Intervention</v>
      </c>
    </row>
    <row r="61" spans="1:9" x14ac:dyDescent="0.3">
      <c r="A61" s="2" t="s">
        <v>382</v>
      </c>
      <c r="B61" s="2" t="s">
        <v>383</v>
      </c>
      <c r="C61" s="2" t="s">
        <v>31</v>
      </c>
      <c r="D61" s="2">
        <v>79</v>
      </c>
      <c r="E61" s="2">
        <v>45</v>
      </c>
      <c r="F61" s="2">
        <v>46</v>
      </c>
      <c r="G61" s="2" t="str">
        <f t="shared" si="1"/>
        <v>Fail</v>
      </c>
      <c r="H61" s="2" t="str" cm="1">
        <f t="array" ref="H61">_xlfn.IFS(F61&gt;=85,"Distinction",F61&gt;=60,"Pass",F61&lt;60,"Fail" )</f>
        <v>Fail</v>
      </c>
      <c r="I61" s="2" t="str">
        <f t="shared" si="0"/>
        <v>Needs Intervention</v>
      </c>
    </row>
    <row r="62" spans="1:9" x14ac:dyDescent="0.3">
      <c r="A62" s="2" t="s">
        <v>396</v>
      </c>
      <c r="B62" s="2" t="s">
        <v>397</v>
      </c>
      <c r="C62" s="2" t="s">
        <v>17</v>
      </c>
      <c r="D62" s="2">
        <v>76</v>
      </c>
      <c r="E62" s="2">
        <v>45</v>
      </c>
      <c r="F62" s="2">
        <v>35</v>
      </c>
      <c r="G62" s="2" t="str">
        <f t="shared" si="1"/>
        <v>Fail</v>
      </c>
      <c r="H62" s="2" t="str" cm="1">
        <f t="array" ref="H62">_xlfn.IFS(F62&gt;=85,"Distinction",F62&gt;=60,"Pass",F62&lt;60,"Fail" )</f>
        <v>Fail</v>
      </c>
      <c r="I62" s="2" t="str">
        <f t="shared" si="0"/>
        <v>Needs Intervention</v>
      </c>
    </row>
    <row r="63" spans="1:9" x14ac:dyDescent="0.3">
      <c r="A63" s="2" t="s">
        <v>400</v>
      </c>
      <c r="B63" s="2" t="s">
        <v>401</v>
      </c>
      <c r="C63" s="2" t="s">
        <v>26</v>
      </c>
      <c r="D63" s="2">
        <v>90</v>
      </c>
      <c r="E63" s="2">
        <v>68</v>
      </c>
      <c r="F63" s="2">
        <v>36</v>
      </c>
      <c r="G63" s="2" t="str">
        <f t="shared" si="1"/>
        <v>Fail</v>
      </c>
      <c r="H63" s="2" t="str" cm="1">
        <f t="array" ref="H63">_xlfn.IFS(F63&gt;=85,"Distinction",F63&gt;=60,"Pass",F63&lt;60,"Fail" )</f>
        <v>Fail</v>
      </c>
      <c r="I63" s="2" t="str">
        <f t="shared" si="0"/>
        <v>Needs Intervention</v>
      </c>
    </row>
    <row r="64" spans="1:9" x14ac:dyDescent="0.3">
      <c r="A64" s="2" t="s">
        <v>408</v>
      </c>
      <c r="B64" s="2" t="s">
        <v>409</v>
      </c>
      <c r="C64" s="2" t="s">
        <v>14</v>
      </c>
      <c r="D64" s="2">
        <v>57</v>
      </c>
      <c r="E64" s="2">
        <v>68</v>
      </c>
      <c r="F64" s="2">
        <v>44</v>
      </c>
      <c r="G64" s="2" t="str">
        <f t="shared" si="1"/>
        <v>Fail</v>
      </c>
      <c r="H64" s="2" t="str" cm="1">
        <f t="array" ref="H64">_xlfn.IFS(F64&gt;=85,"Distinction",F64&gt;=60,"Pass",F64&lt;60,"Fail" )</f>
        <v>Fail</v>
      </c>
      <c r="I64" s="2" t="str">
        <f t="shared" si="0"/>
        <v>Needs Intervention</v>
      </c>
    </row>
    <row r="65" spans="1:9" x14ac:dyDescent="0.3">
      <c r="A65" s="2" t="s">
        <v>434</v>
      </c>
      <c r="B65" s="2" t="s">
        <v>435</v>
      </c>
      <c r="C65" s="2" t="s">
        <v>17</v>
      </c>
      <c r="D65" s="2">
        <v>90</v>
      </c>
      <c r="E65" s="2">
        <v>38</v>
      </c>
      <c r="F65" s="2">
        <v>39</v>
      </c>
      <c r="G65" s="2" t="str">
        <f t="shared" si="1"/>
        <v>Fail</v>
      </c>
      <c r="H65" s="2" t="str" cm="1">
        <f t="array" ref="H65">_xlfn.IFS(F65&gt;=85,"Distinction",F65&gt;=60,"Pass",F65&lt;60,"Fail" )</f>
        <v>Fail</v>
      </c>
      <c r="I65" s="2" t="str">
        <f t="shared" si="0"/>
        <v>Needs Intervention</v>
      </c>
    </row>
    <row r="66" spans="1:9" x14ac:dyDescent="0.3">
      <c r="A66" s="2" t="s">
        <v>436</v>
      </c>
      <c r="B66" s="2" t="s">
        <v>437</v>
      </c>
      <c r="C66" s="2" t="s">
        <v>11</v>
      </c>
      <c r="D66" s="2">
        <v>98</v>
      </c>
      <c r="E66" s="2">
        <v>79</v>
      </c>
      <c r="F66" s="2">
        <v>34</v>
      </c>
      <c r="G66" s="2" t="str">
        <f t="shared" ref="G66:G129" si="2">IF($F66&gt;=50,"Pass","Fail")</f>
        <v>Fail</v>
      </c>
      <c r="H66" s="2" t="str" cm="1">
        <f t="array" ref="H66">_xlfn.IFS(F66&gt;=85,"Distinction",F66&gt;=60,"Pass",F66&lt;60,"Fail" )</f>
        <v>Fail</v>
      </c>
      <c r="I66" s="2" t="str">
        <f t="shared" ref="I66:I129" si="3">IF(OR(D66&lt;75,F66&lt;50),"Needs Intervention","OK")</f>
        <v>Needs Intervention</v>
      </c>
    </row>
    <row r="67" spans="1:9" x14ac:dyDescent="0.3">
      <c r="A67" s="2" t="s">
        <v>440</v>
      </c>
      <c r="B67" s="2" t="s">
        <v>441</v>
      </c>
      <c r="C67" s="2" t="s">
        <v>31</v>
      </c>
      <c r="D67" s="2">
        <v>61</v>
      </c>
      <c r="E67" s="2">
        <v>95</v>
      </c>
      <c r="F67" s="2">
        <v>42</v>
      </c>
      <c r="G67" s="2" t="str">
        <f t="shared" si="2"/>
        <v>Fail</v>
      </c>
      <c r="H67" s="2" t="str" cm="1">
        <f t="array" ref="H67">_xlfn.IFS(F67&gt;=85,"Distinction",F67&gt;=60,"Pass",F67&lt;60,"Fail" )</f>
        <v>Fail</v>
      </c>
      <c r="I67" s="2" t="str">
        <f t="shared" si="3"/>
        <v>Needs Intervention</v>
      </c>
    </row>
    <row r="68" spans="1:9" x14ac:dyDescent="0.3">
      <c r="A68" s="2" t="s">
        <v>450</v>
      </c>
      <c r="B68" s="2" t="s">
        <v>451</v>
      </c>
      <c r="C68" s="2" t="s">
        <v>14</v>
      </c>
      <c r="D68" s="2">
        <v>86</v>
      </c>
      <c r="E68" s="2">
        <v>37</v>
      </c>
      <c r="F68" s="2">
        <v>44</v>
      </c>
      <c r="G68" s="2" t="str">
        <f t="shared" si="2"/>
        <v>Fail</v>
      </c>
      <c r="H68" s="2" t="str" cm="1">
        <f t="array" ref="H68">_xlfn.IFS(F68&gt;=85,"Distinction",F68&gt;=60,"Pass",F68&lt;60,"Fail" )</f>
        <v>Fail</v>
      </c>
      <c r="I68" s="2" t="str">
        <f t="shared" si="3"/>
        <v>Needs Intervention</v>
      </c>
    </row>
    <row r="69" spans="1:9" x14ac:dyDescent="0.3">
      <c r="A69" s="2" t="s">
        <v>454</v>
      </c>
      <c r="B69" s="2" t="s">
        <v>455</v>
      </c>
      <c r="C69" s="2" t="s">
        <v>26</v>
      </c>
      <c r="D69" s="2">
        <v>66</v>
      </c>
      <c r="E69" s="2">
        <v>46</v>
      </c>
      <c r="F69" s="2">
        <v>37</v>
      </c>
      <c r="G69" s="2" t="str">
        <f t="shared" si="2"/>
        <v>Fail</v>
      </c>
      <c r="H69" s="2" t="str" cm="1">
        <f t="array" ref="H69">_xlfn.IFS(F69&gt;=85,"Distinction",F69&gt;=60,"Pass",F69&lt;60,"Fail" )</f>
        <v>Fail</v>
      </c>
      <c r="I69" s="2" t="str">
        <f t="shared" si="3"/>
        <v>Needs Intervention</v>
      </c>
    </row>
    <row r="70" spans="1:9" x14ac:dyDescent="0.3">
      <c r="A70" s="2" t="s">
        <v>456</v>
      </c>
      <c r="B70" s="2" t="s">
        <v>457</v>
      </c>
      <c r="C70" s="2" t="s">
        <v>31</v>
      </c>
      <c r="D70" s="2">
        <v>98</v>
      </c>
      <c r="E70" s="2">
        <v>100</v>
      </c>
      <c r="F70" s="2">
        <v>34</v>
      </c>
      <c r="G70" s="2" t="str">
        <f t="shared" si="2"/>
        <v>Fail</v>
      </c>
      <c r="H70" s="2" t="str" cm="1">
        <f t="array" ref="H70">_xlfn.IFS(F70&gt;=85,"Distinction",F70&gt;=60,"Pass",F70&lt;60,"Fail" )</f>
        <v>Fail</v>
      </c>
      <c r="I70" s="2" t="str">
        <f t="shared" si="3"/>
        <v>Needs Intervention</v>
      </c>
    </row>
    <row r="71" spans="1:9" x14ac:dyDescent="0.3">
      <c r="A71" s="2" t="s">
        <v>466</v>
      </c>
      <c r="B71" s="2" t="s">
        <v>467</v>
      </c>
      <c r="C71" s="2" t="s">
        <v>31</v>
      </c>
      <c r="D71" s="2">
        <v>86</v>
      </c>
      <c r="E71" s="2">
        <v>60</v>
      </c>
      <c r="F71" s="2">
        <v>31</v>
      </c>
      <c r="G71" s="2" t="str">
        <f t="shared" si="2"/>
        <v>Fail</v>
      </c>
      <c r="H71" s="2" t="str" cm="1">
        <f t="array" ref="H71">_xlfn.IFS(F71&gt;=85,"Distinction",F71&gt;=60,"Pass",F71&lt;60,"Fail" )</f>
        <v>Fail</v>
      </c>
      <c r="I71" s="2" t="str">
        <f t="shared" si="3"/>
        <v>Needs Intervention</v>
      </c>
    </row>
    <row r="72" spans="1:9" x14ac:dyDescent="0.3">
      <c r="A72" s="2" t="s">
        <v>482</v>
      </c>
      <c r="B72" s="2" t="s">
        <v>483</v>
      </c>
      <c r="C72" s="2" t="s">
        <v>17</v>
      </c>
      <c r="D72" s="2">
        <v>81</v>
      </c>
      <c r="E72" s="2">
        <v>74</v>
      </c>
      <c r="F72" s="2">
        <v>49</v>
      </c>
      <c r="G72" s="2" t="str">
        <f t="shared" si="2"/>
        <v>Fail</v>
      </c>
      <c r="H72" s="2" t="str" cm="1">
        <f t="array" ref="H72">_xlfn.IFS(F72&gt;=85,"Distinction",F72&gt;=60,"Pass",F72&lt;60,"Fail" )</f>
        <v>Fail</v>
      </c>
      <c r="I72" s="2" t="str">
        <f t="shared" si="3"/>
        <v>Needs Intervention</v>
      </c>
    </row>
    <row r="73" spans="1:9" x14ac:dyDescent="0.3">
      <c r="A73" s="2" t="s">
        <v>484</v>
      </c>
      <c r="B73" s="2" t="s">
        <v>485</v>
      </c>
      <c r="C73" s="2" t="s">
        <v>14</v>
      </c>
      <c r="D73" s="2">
        <v>55</v>
      </c>
      <c r="E73" s="2">
        <v>42</v>
      </c>
      <c r="F73" s="2">
        <v>40</v>
      </c>
      <c r="G73" s="2" t="str">
        <f t="shared" si="2"/>
        <v>Fail</v>
      </c>
      <c r="H73" s="2" t="str" cm="1">
        <f t="array" ref="H73">_xlfn.IFS(F73&gt;=85,"Distinction",F73&gt;=60,"Pass",F73&lt;60,"Fail" )</f>
        <v>Fail</v>
      </c>
      <c r="I73" s="2" t="str">
        <f t="shared" si="3"/>
        <v>Needs Intervention</v>
      </c>
    </row>
    <row r="74" spans="1:9" x14ac:dyDescent="0.3">
      <c r="A74" s="2" t="s">
        <v>488</v>
      </c>
      <c r="B74" s="2" t="s">
        <v>489</v>
      </c>
      <c r="C74" s="2" t="s">
        <v>17</v>
      </c>
      <c r="D74" s="2">
        <v>53</v>
      </c>
      <c r="E74" s="2">
        <v>49</v>
      </c>
      <c r="F74" s="2">
        <v>35</v>
      </c>
      <c r="G74" s="2" t="str">
        <f t="shared" si="2"/>
        <v>Fail</v>
      </c>
      <c r="H74" s="2" t="str" cm="1">
        <f t="array" ref="H74">_xlfn.IFS(F74&gt;=85,"Distinction",F74&gt;=60,"Pass",F74&lt;60,"Fail" )</f>
        <v>Fail</v>
      </c>
      <c r="I74" s="2" t="str">
        <f t="shared" si="3"/>
        <v>Needs Intervention</v>
      </c>
    </row>
    <row r="75" spans="1:9" x14ac:dyDescent="0.3">
      <c r="A75" s="2" t="s">
        <v>496</v>
      </c>
      <c r="B75" s="2" t="s">
        <v>497</v>
      </c>
      <c r="C75" s="2" t="s">
        <v>31</v>
      </c>
      <c r="D75" s="2">
        <v>73</v>
      </c>
      <c r="E75" s="2">
        <v>32</v>
      </c>
      <c r="F75" s="2">
        <v>41</v>
      </c>
      <c r="G75" s="2" t="str">
        <f t="shared" si="2"/>
        <v>Fail</v>
      </c>
      <c r="H75" s="2" t="str" cm="1">
        <f t="array" ref="H75">_xlfn.IFS(F75&gt;=85,"Distinction",F75&gt;=60,"Pass",F75&lt;60,"Fail" )</f>
        <v>Fail</v>
      </c>
      <c r="I75" s="2" t="str">
        <f t="shared" si="3"/>
        <v>Needs Intervention</v>
      </c>
    </row>
    <row r="76" spans="1:9" x14ac:dyDescent="0.3">
      <c r="A76" s="2" t="s">
        <v>498</v>
      </c>
      <c r="B76" s="2" t="s">
        <v>499</v>
      </c>
      <c r="C76" s="2" t="s">
        <v>31</v>
      </c>
      <c r="D76" s="2">
        <v>54</v>
      </c>
      <c r="E76" s="2">
        <v>91</v>
      </c>
      <c r="F76" s="2">
        <v>42</v>
      </c>
      <c r="G76" s="2" t="str">
        <f t="shared" si="2"/>
        <v>Fail</v>
      </c>
      <c r="H76" s="2" t="str" cm="1">
        <f t="array" ref="H76">_xlfn.IFS(F76&gt;=85,"Distinction",F76&gt;=60,"Pass",F76&lt;60,"Fail" )</f>
        <v>Fail</v>
      </c>
      <c r="I76" s="2" t="str">
        <f t="shared" si="3"/>
        <v>Needs Intervention</v>
      </c>
    </row>
    <row r="77" spans="1:9" x14ac:dyDescent="0.3">
      <c r="A77" s="2" t="s">
        <v>508</v>
      </c>
      <c r="B77" s="2" t="s">
        <v>509</v>
      </c>
      <c r="C77" s="2" t="s">
        <v>17</v>
      </c>
      <c r="D77" s="2">
        <v>97</v>
      </c>
      <c r="E77" s="2">
        <v>67</v>
      </c>
      <c r="F77" s="2">
        <v>34</v>
      </c>
      <c r="G77" s="2" t="str">
        <f t="shared" si="2"/>
        <v>Fail</v>
      </c>
      <c r="H77" s="2" t="str" cm="1">
        <f t="array" ref="H77">_xlfn.IFS(F77&gt;=85,"Distinction",F77&gt;=60,"Pass",F77&lt;60,"Fail" )</f>
        <v>Fail</v>
      </c>
      <c r="I77" s="2" t="str">
        <f t="shared" si="3"/>
        <v>Needs Intervention</v>
      </c>
    </row>
    <row r="78" spans="1:9" x14ac:dyDescent="0.3">
      <c r="A78" s="2" t="s">
        <v>514</v>
      </c>
      <c r="B78" s="2" t="s">
        <v>515</v>
      </c>
      <c r="C78" s="2" t="s">
        <v>17</v>
      </c>
      <c r="D78" s="2">
        <v>58</v>
      </c>
      <c r="E78" s="2">
        <v>73</v>
      </c>
      <c r="F78" s="2">
        <v>38</v>
      </c>
      <c r="G78" s="2" t="str">
        <f t="shared" si="2"/>
        <v>Fail</v>
      </c>
      <c r="H78" s="2" t="str" cm="1">
        <f t="array" ref="H78">_xlfn.IFS(F78&gt;=85,"Distinction",F78&gt;=60,"Pass",F78&lt;60,"Fail" )</f>
        <v>Fail</v>
      </c>
      <c r="I78" s="2" t="str">
        <f t="shared" si="3"/>
        <v>Needs Intervention</v>
      </c>
    </row>
    <row r="79" spans="1:9" x14ac:dyDescent="0.3">
      <c r="A79" s="2" t="s">
        <v>524</v>
      </c>
      <c r="B79" s="2" t="s">
        <v>525</v>
      </c>
      <c r="C79" s="2" t="s">
        <v>26</v>
      </c>
      <c r="D79" s="2">
        <v>69</v>
      </c>
      <c r="E79" s="2">
        <v>76</v>
      </c>
      <c r="F79" s="2">
        <v>40</v>
      </c>
      <c r="G79" s="2" t="str">
        <f t="shared" si="2"/>
        <v>Fail</v>
      </c>
      <c r="H79" s="2" t="str" cm="1">
        <f t="array" ref="H79">_xlfn.IFS(F79&gt;=85,"Distinction",F79&gt;=60,"Pass",F79&lt;60,"Fail" )</f>
        <v>Fail</v>
      </c>
      <c r="I79" s="2" t="str">
        <f t="shared" si="3"/>
        <v>Needs Intervention</v>
      </c>
    </row>
    <row r="80" spans="1:9" x14ac:dyDescent="0.3">
      <c r="A80" s="2" t="s">
        <v>528</v>
      </c>
      <c r="B80" s="2" t="s">
        <v>529</v>
      </c>
      <c r="C80" s="2" t="s">
        <v>17</v>
      </c>
      <c r="D80" s="2">
        <v>68</v>
      </c>
      <c r="E80" s="2">
        <v>65</v>
      </c>
      <c r="F80" s="2">
        <v>30</v>
      </c>
      <c r="G80" s="2" t="str">
        <f t="shared" si="2"/>
        <v>Fail</v>
      </c>
      <c r="H80" s="2" t="str" cm="1">
        <f t="array" ref="H80">_xlfn.IFS(F80&gt;=85,"Distinction",F80&gt;=60,"Pass",F80&lt;60,"Fail" )</f>
        <v>Fail</v>
      </c>
      <c r="I80" s="2" t="str">
        <f t="shared" si="3"/>
        <v>Needs Intervention</v>
      </c>
    </row>
    <row r="81" spans="1:9" x14ac:dyDescent="0.3">
      <c r="A81" s="2" t="s">
        <v>540</v>
      </c>
      <c r="B81" s="2" t="s">
        <v>541</v>
      </c>
      <c r="C81" s="2" t="s">
        <v>14</v>
      </c>
      <c r="D81" s="2">
        <v>56</v>
      </c>
      <c r="E81" s="2">
        <v>78</v>
      </c>
      <c r="F81" s="2">
        <v>30</v>
      </c>
      <c r="G81" s="2" t="str">
        <f t="shared" si="2"/>
        <v>Fail</v>
      </c>
      <c r="H81" s="2" t="str" cm="1">
        <f t="array" ref="H81">_xlfn.IFS(F81&gt;=85,"Distinction",F81&gt;=60,"Pass",F81&lt;60,"Fail" )</f>
        <v>Fail</v>
      </c>
      <c r="I81" s="2" t="str">
        <f t="shared" si="3"/>
        <v>Needs Intervention</v>
      </c>
    </row>
    <row r="82" spans="1:9" x14ac:dyDescent="0.3">
      <c r="A82" s="2" t="s">
        <v>550</v>
      </c>
      <c r="B82" s="2" t="s">
        <v>551</v>
      </c>
      <c r="C82" s="2" t="s">
        <v>11</v>
      </c>
      <c r="D82" s="2">
        <v>67</v>
      </c>
      <c r="E82" s="2">
        <v>83</v>
      </c>
      <c r="F82" s="2">
        <v>44</v>
      </c>
      <c r="G82" s="2" t="str">
        <f t="shared" si="2"/>
        <v>Fail</v>
      </c>
      <c r="H82" s="2" t="str" cm="1">
        <f t="array" ref="H82">_xlfn.IFS(F82&gt;=85,"Distinction",F82&gt;=60,"Pass",F82&lt;60,"Fail" )</f>
        <v>Fail</v>
      </c>
      <c r="I82" s="2" t="str">
        <f t="shared" si="3"/>
        <v>Needs Intervention</v>
      </c>
    </row>
    <row r="83" spans="1:9" x14ac:dyDescent="0.3">
      <c r="A83" s="2" t="s">
        <v>558</v>
      </c>
      <c r="B83" s="2" t="s">
        <v>559</v>
      </c>
      <c r="C83" s="2" t="s">
        <v>11</v>
      </c>
      <c r="D83" s="2">
        <v>77</v>
      </c>
      <c r="E83" s="2">
        <v>41</v>
      </c>
      <c r="F83" s="2">
        <v>38</v>
      </c>
      <c r="G83" s="2" t="str">
        <f t="shared" si="2"/>
        <v>Fail</v>
      </c>
      <c r="H83" s="2" t="str" cm="1">
        <f t="array" ref="H83">_xlfn.IFS(F83&gt;=85,"Distinction",F83&gt;=60,"Pass",F83&lt;60,"Fail" )</f>
        <v>Fail</v>
      </c>
      <c r="I83" s="2" t="str">
        <f t="shared" si="3"/>
        <v>Needs Intervention</v>
      </c>
    </row>
    <row r="84" spans="1:9" x14ac:dyDescent="0.3">
      <c r="A84" s="2" t="s">
        <v>576</v>
      </c>
      <c r="B84" s="2" t="s">
        <v>577</v>
      </c>
      <c r="C84" s="2" t="s">
        <v>17</v>
      </c>
      <c r="D84" s="2">
        <v>65</v>
      </c>
      <c r="E84" s="2">
        <v>79</v>
      </c>
      <c r="F84" s="2">
        <v>31</v>
      </c>
      <c r="G84" s="2" t="str">
        <f t="shared" si="2"/>
        <v>Fail</v>
      </c>
      <c r="H84" s="2" t="str" cm="1">
        <f t="array" ref="H84">_xlfn.IFS(F84&gt;=85,"Distinction",F84&gt;=60,"Pass",F84&lt;60,"Fail" )</f>
        <v>Fail</v>
      </c>
      <c r="I84" s="2" t="str">
        <f t="shared" si="3"/>
        <v>Needs Intervention</v>
      </c>
    </row>
    <row r="85" spans="1:9" x14ac:dyDescent="0.3">
      <c r="A85" s="2" t="s">
        <v>578</v>
      </c>
      <c r="B85" s="2" t="s">
        <v>579</v>
      </c>
      <c r="C85" s="2" t="s">
        <v>11</v>
      </c>
      <c r="D85" s="2">
        <v>75</v>
      </c>
      <c r="E85" s="2">
        <v>57</v>
      </c>
      <c r="F85" s="2">
        <v>36</v>
      </c>
      <c r="G85" s="2" t="str">
        <f t="shared" si="2"/>
        <v>Fail</v>
      </c>
      <c r="H85" s="2" t="str" cm="1">
        <f t="array" ref="H85">_xlfn.IFS(F85&gt;=85,"Distinction",F85&gt;=60,"Pass",F85&lt;60,"Fail" )</f>
        <v>Fail</v>
      </c>
      <c r="I85" s="2" t="str">
        <f t="shared" si="3"/>
        <v>Needs Intervention</v>
      </c>
    </row>
    <row r="86" spans="1:9" x14ac:dyDescent="0.3">
      <c r="A86" s="2" t="s">
        <v>582</v>
      </c>
      <c r="B86" s="2" t="s">
        <v>583</v>
      </c>
      <c r="C86" s="2" t="s">
        <v>31</v>
      </c>
      <c r="D86" s="2">
        <v>98</v>
      </c>
      <c r="E86" s="2">
        <v>93</v>
      </c>
      <c r="F86" s="2">
        <v>46</v>
      </c>
      <c r="G86" s="2" t="str">
        <f t="shared" si="2"/>
        <v>Fail</v>
      </c>
      <c r="H86" s="2" t="str" cm="1">
        <f t="array" ref="H86">_xlfn.IFS(F86&gt;=85,"Distinction",F86&gt;=60,"Pass",F86&lt;60,"Fail" )</f>
        <v>Fail</v>
      </c>
      <c r="I86" s="2" t="str">
        <f t="shared" si="3"/>
        <v>Needs Intervention</v>
      </c>
    </row>
    <row r="87" spans="1:9" x14ac:dyDescent="0.3">
      <c r="A87" s="2" t="s">
        <v>622</v>
      </c>
      <c r="B87" s="2" t="s">
        <v>623</v>
      </c>
      <c r="C87" s="2" t="s">
        <v>14</v>
      </c>
      <c r="D87" s="2">
        <v>98</v>
      </c>
      <c r="E87" s="2">
        <v>47</v>
      </c>
      <c r="F87" s="2">
        <v>49</v>
      </c>
      <c r="G87" s="2" t="str">
        <f t="shared" si="2"/>
        <v>Fail</v>
      </c>
      <c r="H87" s="2" t="str" cm="1">
        <f t="array" ref="H87">_xlfn.IFS(F87&gt;=85,"Distinction",F87&gt;=60,"Pass",F87&lt;60,"Fail" )</f>
        <v>Fail</v>
      </c>
      <c r="I87" s="2" t="str">
        <f t="shared" si="3"/>
        <v>Needs Intervention</v>
      </c>
    </row>
    <row r="88" spans="1:9" x14ac:dyDescent="0.3">
      <c r="A88" s="2" t="s">
        <v>632</v>
      </c>
      <c r="B88" s="2" t="s">
        <v>633</v>
      </c>
      <c r="C88" s="2" t="s">
        <v>26</v>
      </c>
      <c r="D88" s="2">
        <v>69</v>
      </c>
      <c r="E88" s="2">
        <v>88</v>
      </c>
      <c r="F88" s="2">
        <v>30</v>
      </c>
      <c r="G88" s="2" t="str">
        <f t="shared" si="2"/>
        <v>Fail</v>
      </c>
      <c r="H88" s="2" t="str" cm="1">
        <f t="array" ref="H88">_xlfn.IFS(F88&gt;=85,"Distinction",F88&gt;=60,"Pass",F88&lt;60,"Fail" )</f>
        <v>Fail</v>
      </c>
      <c r="I88" s="2" t="str">
        <f t="shared" si="3"/>
        <v>Needs Intervention</v>
      </c>
    </row>
    <row r="89" spans="1:9" x14ac:dyDescent="0.3">
      <c r="A89" s="2" t="s">
        <v>634</v>
      </c>
      <c r="B89" s="2" t="s">
        <v>635</v>
      </c>
      <c r="C89" s="2" t="s">
        <v>26</v>
      </c>
      <c r="D89" s="2">
        <v>84</v>
      </c>
      <c r="E89" s="2">
        <v>56</v>
      </c>
      <c r="F89" s="2">
        <v>42</v>
      </c>
      <c r="G89" s="2" t="str">
        <f t="shared" si="2"/>
        <v>Fail</v>
      </c>
      <c r="H89" s="2" t="str" cm="1">
        <f t="array" ref="H89">_xlfn.IFS(F89&gt;=85,"Distinction",F89&gt;=60,"Pass",F89&lt;60,"Fail" )</f>
        <v>Fail</v>
      </c>
      <c r="I89" s="2" t="str">
        <f t="shared" si="3"/>
        <v>Needs Intervention</v>
      </c>
    </row>
    <row r="90" spans="1:9" x14ac:dyDescent="0.3">
      <c r="A90" s="2" t="s">
        <v>654</v>
      </c>
      <c r="B90" s="2" t="s">
        <v>655</v>
      </c>
      <c r="C90" s="2" t="s">
        <v>26</v>
      </c>
      <c r="D90" s="2">
        <v>84</v>
      </c>
      <c r="E90" s="2">
        <v>82</v>
      </c>
      <c r="F90" s="2">
        <v>45</v>
      </c>
      <c r="G90" s="2" t="str">
        <f t="shared" si="2"/>
        <v>Fail</v>
      </c>
      <c r="H90" s="2" t="str" cm="1">
        <f t="array" ref="H90">_xlfn.IFS(F90&gt;=85,"Distinction",F90&gt;=60,"Pass",F90&lt;60,"Fail" )</f>
        <v>Fail</v>
      </c>
      <c r="I90" s="2" t="str">
        <f t="shared" si="3"/>
        <v>Needs Intervention</v>
      </c>
    </row>
    <row r="91" spans="1:9" x14ac:dyDescent="0.3">
      <c r="A91" s="2" t="s">
        <v>658</v>
      </c>
      <c r="B91" s="2" t="s">
        <v>659</v>
      </c>
      <c r="C91" s="2" t="s">
        <v>26</v>
      </c>
      <c r="D91" s="2">
        <v>90</v>
      </c>
      <c r="E91" s="2">
        <v>82</v>
      </c>
      <c r="F91" s="2">
        <v>48</v>
      </c>
      <c r="G91" s="2" t="str">
        <f t="shared" si="2"/>
        <v>Fail</v>
      </c>
      <c r="H91" s="2" t="str" cm="1">
        <f t="array" ref="H91">_xlfn.IFS(F91&gt;=85,"Distinction",F91&gt;=60,"Pass",F91&lt;60,"Fail" )</f>
        <v>Fail</v>
      </c>
      <c r="I91" s="2" t="str">
        <f t="shared" si="3"/>
        <v>Needs Intervention</v>
      </c>
    </row>
    <row r="92" spans="1:9" x14ac:dyDescent="0.3">
      <c r="A92" s="2" t="s">
        <v>660</v>
      </c>
      <c r="B92" s="2" t="s">
        <v>661</v>
      </c>
      <c r="C92" s="2" t="s">
        <v>26</v>
      </c>
      <c r="D92" s="2">
        <v>85</v>
      </c>
      <c r="E92" s="2">
        <v>66</v>
      </c>
      <c r="F92" s="2">
        <v>47</v>
      </c>
      <c r="G92" s="2" t="str">
        <f t="shared" si="2"/>
        <v>Fail</v>
      </c>
      <c r="H92" s="2" t="str" cm="1">
        <f t="array" ref="H92">_xlfn.IFS(F92&gt;=85,"Distinction",F92&gt;=60,"Pass",F92&lt;60,"Fail" )</f>
        <v>Fail</v>
      </c>
      <c r="I92" s="2" t="str">
        <f t="shared" si="3"/>
        <v>Needs Intervention</v>
      </c>
    </row>
    <row r="93" spans="1:9" x14ac:dyDescent="0.3">
      <c r="A93" s="2" t="s">
        <v>662</v>
      </c>
      <c r="B93" s="2" t="s">
        <v>663</v>
      </c>
      <c r="C93" s="2" t="s">
        <v>14</v>
      </c>
      <c r="D93" s="2">
        <v>82</v>
      </c>
      <c r="E93" s="2">
        <v>46</v>
      </c>
      <c r="F93" s="2">
        <v>30</v>
      </c>
      <c r="G93" s="2" t="str">
        <f t="shared" si="2"/>
        <v>Fail</v>
      </c>
      <c r="H93" s="2" t="str" cm="1">
        <f t="array" ref="H93">_xlfn.IFS(F93&gt;=85,"Distinction",F93&gt;=60,"Pass",F93&lt;60,"Fail" )</f>
        <v>Fail</v>
      </c>
      <c r="I93" s="2" t="str">
        <f t="shared" si="3"/>
        <v>Needs Intervention</v>
      </c>
    </row>
    <row r="94" spans="1:9" x14ac:dyDescent="0.3">
      <c r="A94" s="2" t="s">
        <v>673</v>
      </c>
      <c r="B94" s="2" t="s">
        <v>674</v>
      </c>
      <c r="C94" s="2" t="s">
        <v>26</v>
      </c>
      <c r="D94" s="2">
        <v>69</v>
      </c>
      <c r="E94" s="2">
        <v>94</v>
      </c>
      <c r="F94" s="2">
        <v>33</v>
      </c>
      <c r="G94" s="2" t="str">
        <f t="shared" si="2"/>
        <v>Fail</v>
      </c>
      <c r="H94" s="2" t="str" cm="1">
        <f t="array" ref="H94">_xlfn.IFS(F94&gt;=85,"Distinction",F94&gt;=60,"Pass",F94&lt;60,"Fail" )</f>
        <v>Fail</v>
      </c>
      <c r="I94" s="2" t="str">
        <f t="shared" si="3"/>
        <v>Needs Intervention</v>
      </c>
    </row>
    <row r="95" spans="1:9" x14ac:dyDescent="0.3">
      <c r="A95" s="2" t="s">
        <v>675</v>
      </c>
      <c r="B95" s="2" t="s">
        <v>676</v>
      </c>
      <c r="C95" s="2" t="s">
        <v>17</v>
      </c>
      <c r="D95" s="2">
        <v>57</v>
      </c>
      <c r="E95" s="2">
        <v>61</v>
      </c>
      <c r="F95" s="2">
        <v>30</v>
      </c>
      <c r="G95" s="2" t="str">
        <f t="shared" si="2"/>
        <v>Fail</v>
      </c>
      <c r="H95" s="2" t="str" cm="1">
        <f t="array" ref="H95">_xlfn.IFS(F95&gt;=85,"Distinction",F95&gt;=60,"Pass",F95&lt;60,"Fail" )</f>
        <v>Fail</v>
      </c>
      <c r="I95" s="2" t="str">
        <f t="shared" si="3"/>
        <v>Needs Intervention</v>
      </c>
    </row>
    <row r="96" spans="1:9" x14ac:dyDescent="0.3">
      <c r="A96" s="2" t="s">
        <v>677</v>
      </c>
      <c r="B96" s="2" t="s">
        <v>678</v>
      </c>
      <c r="C96" s="2" t="s">
        <v>11</v>
      </c>
      <c r="D96" s="2">
        <v>56</v>
      </c>
      <c r="E96" s="2">
        <v>63</v>
      </c>
      <c r="F96" s="2">
        <v>37</v>
      </c>
      <c r="G96" s="2" t="str">
        <f t="shared" si="2"/>
        <v>Fail</v>
      </c>
      <c r="H96" s="2" t="str" cm="1">
        <f t="array" ref="H96">_xlfn.IFS(F96&gt;=85,"Distinction",F96&gt;=60,"Pass",F96&lt;60,"Fail" )</f>
        <v>Fail</v>
      </c>
      <c r="I96" s="2" t="str">
        <f t="shared" si="3"/>
        <v>Needs Intervention</v>
      </c>
    </row>
    <row r="97" spans="1:9" x14ac:dyDescent="0.3">
      <c r="A97" s="2" t="s">
        <v>683</v>
      </c>
      <c r="B97" s="2" t="s">
        <v>684</v>
      </c>
      <c r="C97" s="2" t="s">
        <v>26</v>
      </c>
      <c r="D97" s="2">
        <v>82</v>
      </c>
      <c r="E97" s="2">
        <v>63</v>
      </c>
      <c r="F97" s="2">
        <v>32</v>
      </c>
      <c r="G97" s="2" t="str">
        <f t="shared" si="2"/>
        <v>Fail</v>
      </c>
      <c r="H97" s="2" t="str" cm="1">
        <f t="array" ref="H97">_xlfn.IFS(F97&gt;=85,"Distinction",F97&gt;=60,"Pass",F97&lt;60,"Fail" )</f>
        <v>Fail</v>
      </c>
      <c r="I97" s="2" t="str">
        <f t="shared" si="3"/>
        <v>Needs Intervention</v>
      </c>
    </row>
    <row r="98" spans="1:9" x14ac:dyDescent="0.3">
      <c r="A98" s="2" t="s">
        <v>687</v>
      </c>
      <c r="B98" s="2" t="s">
        <v>688</v>
      </c>
      <c r="C98" s="2" t="s">
        <v>26</v>
      </c>
      <c r="D98" s="2">
        <v>61</v>
      </c>
      <c r="E98" s="2">
        <v>32</v>
      </c>
      <c r="F98" s="2">
        <v>39</v>
      </c>
      <c r="G98" s="2" t="str">
        <f t="shared" si="2"/>
        <v>Fail</v>
      </c>
      <c r="H98" s="2" t="str" cm="1">
        <f t="array" ref="H98">_xlfn.IFS(F98&gt;=85,"Distinction",F98&gt;=60,"Pass",F98&lt;60,"Fail" )</f>
        <v>Fail</v>
      </c>
      <c r="I98" s="2" t="str">
        <f t="shared" si="3"/>
        <v>Needs Intervention</v>
      </c>
    </row>
    <row r="99" spans="1:9" x14ac:dyDescent="0.3">
      <c r="A99" s="2" t="s">
        <v>697</v>
      </c>
      <c r="B99" s="2" t="s">
        <v>698</v>
      </c>
      <c r="C99" s="2" t="s">
        <v>14</v>
      </c>
      <c r="D99" s="2">
        <v>79</v>
      </c>
      <c r="E99" s="2">
        <v>34</v>
      </c>
      <c r="F99" s="2">
        <v>36</v>
      </c>
      <c r="G99" s="2" t="str">
        <f t="shared" si="2"/>
        <v>Fail</v>
      </c>
      <c r="H99" s="2" t="str" cm="1">
        <f t="array" ref="H99">_xlfn.IFS(F99&gt;=85,"Distinction",F99&gt;=60,"Pass",F99&lt;60,"Fail" )</f>
        <v>Fail</v>
      </c>
      <c r="I99" s="2" t="str">
        <f t="shared" si="3"/>
        <v>Needs Intervention</v>
      </c>
    </row>
    <row r="100" spans="1:9" x14ac:dyDescent="0.3">
      <c r="A100" s="2" t="s">
        <v>699</v>
      </c>
      <c r="B100" s="2" t="s">
        <v>700</v>
      </c>
      <c r="C100" s="2" t="s">
        <v>14</v>
      </c>
      <c r="D100" s="2">
        <v>87</v>
      </c>
      <c r="E100" s="2">
        <v>86</v>
      </c>
      <c r="F100" s="2">
        <v>37</v>
      </c>
      <c r="G100" s="2" t="str">
        <f t="shared" si="2"/>
        <v>Fail</v>
      </c>
      <c r="H100" s="2" t="str" cm="1">
        <f t="array" ref="H100">_xlfn.IFS(F100&gt;=85,"Distinction",F100&gt;=60,"Pass",F100&lt;60,"Fail" )</f>
        <v>Fail</v>
      </c>
      <c r="I100" s="2" t="str">
        <f t="shared" si="3"/>
        <v>Needs Intervention</v>
      </c>
    </row>
    <row r="101" spans="1:9" x14ac:dyDescent="0.3">
      <c r="A101" s="2" t="s">
        <v>715</v>
      </c>
      <c r="B101" s="2" t="s">
        <v>716</v>
      </c>
      <c r="C101" s="2" t="s">
        <v>31</v>
      </c>
      <c r="D101" s="2">
        <v>70</v>
      </c>
      <c r="E101" s="2">
        <v>93</v>
      </c>
      <c r="F101" s="2">
        <v>37</v>
      </c>
      <c r="G101" s="2" t="str">
        <f t="shared" si="2"/>
        <v>Fail</v>
      </c>
      <c r="H101" s="2" t="str" cm="1">
        <f t="array" ref="H101">_xlfn.IFS(F101&gt;=85,"Distinction",F101&gt;=60,"Pass",F101&lt;60,"Fail" )</f>
        <v>Fail</v>
      </c>
      <c r="I101" s="2" t="str">
        <f t="shared" si="3"/>
        <v>Needs Intervention</v>
      </c>
    </row>
    <row r="102" spans="1:9" x14ac:dyDescent="0.3">
      <c r="A102" s="2" t="s">
        <v>725</v>
      </c>
      <c r="B102" s="2" t="s">
        <v>726</v>
      </c>
      <c r="C102" s="2" t="s">
        <v>26</v>
      </c>
      <c r="D102" s="2">
        <v>82</v>
      </c>
      <c r="E102" s="2">
        <v>92</v>
      </c>
      <c r="F102" s="2">
        <v>45</v>
      </c>
      <c r="G102" s="2" t="str">
        <f t="shared" si="2"/>
        <v>Fail</v>
      </c>
      <c r="H102" s="2" t="str" cm="1">
        <f t="array" ref="H102">_xlfn.IFS(F102&gt;=85,"Distinction",F102&gt;=60,"Pass",F102&lt;60,"Fail" )</f>
        <v>Fail</v>
      </c>
      <c r="I102" s="2" t="str">
        <f t="shared" si="3"/>
        <v>Needs Intervention</v>
      </c>
    </row>
    <row r="103" spans="1:9" x14ac:dyDescent="0.3">
      <c r="A103" s="2" t="s">
        <v>733</v>
      </c>
      <c r="B103" s="2" t="s">
        <v>734</v>
      </c>
      <c r="C103" s="2" t="s">
        <v>11</v>
      </c>
      <c r="D103" s="2">
        <v>53</v>
      </c>
      <c r="E103" s="2">
        <v>80</v>
      </c>
      <c r="F103" s="2">
        <v>43</v>
      </c>
      <c r="G103" s="2" t="str">
        <f t="shared" si="2"/>
        <v>Fail</v>
      </c>
      <c r="H103" s="2" t="str" cm="1">
        <f t="array" ref="H103">_xlfn.IFS(F103&gt;=85,"Distinction",F103&gt;=60,"Pass",F103&lt;60,"Fail" )</f>
        <v>Fail</v>
      </c>
      <c r="I103" s="2" t="str">
        <f t="shared" si="3"/>
        <v>Needs Intervention</v>
      </c>
    </row>
    <row r="104" spans="1:9" x14ac:dyDescent="0.3">
      <c r="A104" s="2" t="s">
        <v>739</v>
      </c>
      <c r="B104" s="2" t="s">
        <v>740</v>
      </c>
      <c r="C104" s="2" t="s">
        <v>31</v>
      </c>
      <c r="D104" s="2">
        <v>66</v>
      </c>
      <c r="E104" s="2">
        <v>33</v>
      </c>
      <c r="F104" s="2">
        <v>36</v>
      </c>
      <c r="G104" s="2" t="str">
        <f t="shared" si="2"/>
        <v>Fail</v>
      </c>
      <c r="H104" s="2" t="str" cm="1">
        <f t="array" ref="H104">_xlfn.IFS(F104&gt;=85,"Distinction",F104&gt;=60,"Pass",F104&lt;60,"Fail" )</f>
        <v>Fail</v>
      </c>
      <c r="I104" s="2" t="str">
        <f t="shared" si="3"/>
        <v>Needs Intervention</v>
      </c>
    </row>
    <row r="105" spans="1:9" x14ac:dyDescent="0.3">
      <c r="A105" s="2" t="s">
        <v>741</v>
      </c>
      <c r="B105" s="2" t="s">
        <v>742</v>
      </c>
      <c r="C105" s="2" t="s">
        <v>17</v>
      </c>
      <c r="D105" s="2">
        <v>93</v>
      </c>
      <c r="E105" s="2">
        <v>39</v>
      </c>
      <c r="F105" s="2">
        <v>36</v>
      </c>
      <c r="G105" s="2" t="str">
        <f t="shared" si="2"/>
        <v>Fail</v>
      </c>
      <c r="H105" s="2" t="str" cm="1">
        <f t="array" ref="H105">_xlfn.IFS(F105&gt;=85,"Distinction",F105&gt;=60,"Pass",F105&lt;60,"Fail" )</f>
        <v>Fail</v>
      </c>
      <c r="I105" s="2" t="str">
        <f t="shared" si="3"/>
        <v>Needs Intervention</v>
      </c>
    </row>
    <row r="106" spans="1:9" x14ac:dyDescent="0.3">
      <c r="A106" s="2" t="s">
        <v>747</v>
      </c>
      <c r="B106" s="2" t="s">
        <v>748</v>
      </c>
      <c r="C106" s="2" t="s">
        <v>11</v>
      </c>
      <c r="D106" s="2">
        <v>78</v>
      </c>
      <c r="E106" s="2">
        <v>46</v>
      </c>
      <c r="F106" s="2">
        <v>48</v>
      </c>
      <c r="G106" s="2" t="str">
        <f t="shared" si="2"/>
        <v>Fail</v>
      </c>
      <c r="H106" s="2" t="str" cm="1">
        <f t="array" ref="H106">_xlfn.IFS(F106&gt;=85,"Distinction",F106&gt;=60,"Pass",F106&lt;60,"Fail" )</f>
        <v>Fail</v>
      </c>
      <c r="I106" s="2" t="str">
        <f t="shared" si="3"/>
        <v>Needs Intervention</v>
      </c>
    </row>
    <row r="107" spans="1:9" x14ac:dyDescent="0.3">
      <c r="A107" s="2" t="s">
        <v>749</v>
      </c>
      <c r="B107" s="2" t="s">
        <v>750</v>
      </c>
      <c r="C107" s="2" t="s">
        <v>14</v>
      </c>
      <c r="D107" s="2">
        <v>95</v>
      </c>
      <c r="E107" s="2">
        <v>98</v>
      </c>
      <c r="F107" s="2">
        <v>48</v>
      </c>
      <c r="G107" s="2" t="str">
        <f t="shared" si="2"/>
        <v>Fail</v>
      </c>
      <c r="H107" s="2" t="str" cm="1">
        <f t="array" ref="H107">_xlfn.IFS(F107&gt;=85,"Distinction",F107&gt;=60,"Pass",F107&lt;60,"Fail" )</f>
        <v>Fail</v>
      </c>
      <c r="I107" s="2" t="str">
        <f t="shared" si="3"/>
        <v>Needs Intervention</v>
      </c>
    </row>
    <row r="108" spans="1:9" x14ac:dyDescent="0.3">
      <c r="A108" s="2" t="s">
        <v>757</v>
      </c>
      <c r="B108" s="2" t="s">
        <v>758</v>
      </c>
      <c r="C108" s="2" t="s">
        <v>11</v>
      </c>
      <c r="D108" s="2">
        <v>86</v>
      </c>
      <c r="E108" s="2">
        <v>95</v>
      </c>
      <c r="F108" s="2">
        <v>31</v>
      </c>
      <c r="G108" s="2" t="str">
        <f t="shared" si="2"/>
        <v>Fail</v>
      </c>
      <c r="H108" s="2" t="str" cm="1">
        <f t="array" ref="H108">_xlfn.IFS(F108&gt;=85,"Distinction",F108&gt;=60,"Pass",F108&lt;60,"Fail" )</f>
        <v>Fail</v>
      </c>
      <c r="I108" s="2" t="str">
        <f t="shared" si="3"/>
        <v>Needs Intervention</v>
      </c>
    </row>
    <row r="109" spans="1:9" x14ac:dyDescent="0.3">
      <c r="A109" s="2" t="s">
        <v>759</v>
      </c>
      <c r="B109" s="2" t="s">
        <v>760</v>
      </c>
      <c r="C109" s="2" t="s">
        <v>11</v>
      </c>
      <c r="D109" s="2">
        <v>73</v>
      </c>
      <c r="E109" s="2">
        <v>72</v>
      </c>
      <c r="F109" s="2">
        <v>30</v>
      </c>
      <c r="G109" s="2" t="str">
        <f t="shared" si="2"/>
        <v>Fail</v>
      </c>
      <c r="H109" s="2" t="str" cm="1">
        <f t="array" ref="H109">_xlfn.IFS(F109&gt;=85,"Distinction",F109&gt;=60,"Pass",F109&lt;60,"Fail" )</f>
        <v>Fail</v>
      </c>
      <c r="I109" s="2" t="str">
        <f t="shared" si="3"/>
        <v>Needs Intervention</v>
      </c>
    </row>
    <row r="110" spans="1:9" x14ac:dyDescent="0.3">
      <c r="A110" s="2" t="s">
        <v>22</v>
      </c>
      <c r="B110" s="2" t="s">
        <v>23</v>
      </c>
      <c r="C110" s="2" t="s">
        <v>11</v>
      </c>
      <c r="D110" s="2">
        <v>70</v>
      </c>
      <c r="E110" s="2">
        <v>62</v>
      </c>
      <c r="F110" s="2">
        <v>85</v>
      </c>
      <c r="G110" s="2" t="str">
        <f t="shared" si="2"/>
        <v>Pass</v>
      </c>
      <c r="H110" s="2" t="str" cm="1">
        <f t="array" ref="H110">_xlfn.IFS(F110&gt;=85,"Distinction",F110&gt;=60,"Pass",F110&lt;60,"Fail" )</f>
        <v>Distinction</v>
      </c>
      <c r="I110" s="2" t="str">
        <f t="shared" si="3"/>
        <v>Needs Intervention</v>
      </c>
    </row>
    <row r="111" spans="1:9" x14ac:dyDescent="0.3">
      <c r="A111" s="2" t="s">
        <v>27</v>
      </c>
      <c r="B111" s="2" t="s">
        <v>28</v>
      </c>
      <c r="C111" s="2" t="s">
        <v>14</v>
      </c>
      <c r="D111" s="2">
        <v>68</v>
      </c>
      <c r="E111" s="2">
        <v>47</v>
      </c>
      <c r="F111" s="2">
        <v>96</v>
      </c>
      <c r="G111" s="2" t="str">
        <f t="shared" si="2"/>
        <v>Pass</v>
      </c>
      <c r="H111" s="2" t="str" cm="1">
        <f t="array" ref="H111">_xlfn.IFS(F111&gt;=85,"Distinction",F111&gt;=60,"Pass",F111&lt;60,"Fail" )</f>
        <v>Distinction</v>
      </c>
      <c r="I111" s="2" t="str">
        <f t="shared" si="3"/>
        <v>Needs Intervention</v>
      </c>
    </row>
    <row r="112" spans="1:9" x14ac:dyDescent="0.3">
      <c r="A112" s="2" t="s">
        <v>29</v>
      </c>
      <c r="B112" s="2" t="s">
        <v>30</v>
      </c>
      <c r="C112" s="2" t="s">
        <v>31</v>
      </c>
      <c r="D112" s="2">
        <v>72</v>
      </c>
      <c r="E112" s="2">
        <v>54</v>
      </c>
      <c r="F112" s="2">
        <v>96</v>
      </c>
      <c r="G112" s="2" t="str">
        <f t="shared" si="2"/>
        <v>Pass</v>
      </c>
      <c r="H112" s="2" t="str" cm="1">
        <f t="array" ref="H112">_xlfn.IFS(F112&gt;=85,"Distinction",F112&gt;=60,"Pass",F112&lt;60,"Fail" )</f>
        <v>Distinction</v>
      </c>
      <c r="I112" s="2" t="str">
        <f t="shared" si="3"/>
        <v>Needs Intervention</v>
      </c>
    </row>
    <row r="113" spans="1:9" x14ac:dyDescent="0.3">
      <c r="A113" s="2" t="s">
        <v>32</v>
      </c>
      <c r="B113" s="2" t="s">
        <v>33</v>
      </c>
      <c r="C113" s="2" t="s">
        <v>14</v>
      </c>
      <c r="D113" s="2">
        <v>60</v>
      </c>
      <c r="E113" s="2">
        <v>83</v>
      </c>
      <c r="F113" s="2">
        <v>56</v>
      </c>
      <c r="G113" s="2" t="str">
        <f t="shared" si="2"/>
        <v>Pass</v>
      </c>
      <c r="H113" s="2" t="str" cm="1">
        <f t="array" ref="H113">_xlfn.IFS(F113&gt;=85,"Distinction",F113&gt;=60,"Pass",F113&lt;60,"Fail" )</f>
        <v>Fail</v>
      </c>
      <c r="I113" s="2" t="str">
        <f t="shared" si="3"/>
        <v>Needs Intervention</v>
      </c>
    </row>
    <row r="114" spans="1:9" x14ac:dyDescent="0.3">
      <c r="A114" s="2" t="s">
        <v>34</v>
      </c>
      <c r="B114" s="2" t="s">
        <v>35</v>
      </c>
      <c r="C114" s="2" t="s">
        <v>17</v>
      </c>
      <c r="D114" s="2">
        <v>60</v>
      </c>
      <c r="E114" s="2">
        <v>87</v>
      </c>
      <c r="F114" s="2">
        <v>61</v>
      </c>
      <c r="G114" s="2" t="str">
        <f t="shared" si="2"/>
        <v>Pass</v>
      </c>
      <c r="H114" s="2" t="str" cm="1">
        <f t="array" ref="H114">_xlfn.IFS(F114&gt;=85,"Distinction",F114&gt;=60,"Pass",F114&lt;60,"Fail" )</f>
        <v>Pass</v>
      </c>
      <c r="I114" s="2" t="str">
        <f t="shared" si="3"/>
        <v>Needs Intervention</v>
      </c>
    </row>
    <row r="115" spans="1:9" x14ac:dyDescent="0.3">
      <c r="A115" s="2" t="s">
        <v>36</v>
      </c>
      <c r="B115" s="2" t="s">
        <v>37</v>
      </c>
      <c r="C115" s="2" t="s">
        <v>31</v>
      </c>
      <c r="D115" s="2">
        <v>73</v>
      </c>
      <c r="E115" s="2">
        <v>96</v>
      </c>
      <c r="F115" s="2">
        <v>79</v>
      </c>
      <c r="G115" s="2" t="str">
        <f t="shared" si="2"/>
        <v>Pass</v>
      </c>
      <c r="H115" s="2" t="str" cm="1">
        <f t="array" ref="H115">_xlfn.IFS(F115&gt;=85,"Distinction",F115&gt;=60,"Pass",F115&lt;60,"Fail" )</f>
        <v>Pass</v>
      </c>
      <c r="I115" s="2" t="str">
        <f t="shared" si="3"/>
        <v>Needs Intervention</v>
      </c>
    </row>
    <row r="116" spans="1:9" x14ac:dyDescent="0.3">
      <c r="A116" s="2" t="s">
        <v>44</v>
      </c>
      <c r="B116" s="2" t="s">
        <v>45</v>
      </c>
      <c r="C116" s="2" t="s">
        <v>31</v>
      </c>
      <c r="D116" s="2">
        <v>52</v>
      </c>
      <c r="E116" s="2">
        <v>76</v>
      </c>
      <c r="F116" s="2">
        <v>50</v>
      </c>
      <c r="G116" s="2" t="str">
        <f t="shared" si="2"/>
        <v>Pass</v>
      </c>
      <c r="H116" s="2" t="str" cm="1">
        <f t="array" ref="H116">_xlfn.IFS(F116&gt;=85,"Distinction",F116&gt;=60,"Pass",F116&lt;60,"Fail" )</f>
        <v>Fail</v>
      </c>
      <c r="I116" s="2" t="str">
        <f t="shared" si="3"/>
        <v>Needs Intervention</v>
      </c>
    </row>
    <row r="117" spans="1:9" x14ac:dyDescent="0.3">
      <c r="A117" s="2" t="s">
        <v>48</v>
      </c>
      <c r="B117" s="2" t="s">
        <v>49</v>
      </c>
      <c r="C117" s="2" t="s">
        <v>31</v>
      </c>
      <c r="D117" s="2">
        <v>51</v>
      </c>
      <c r="E117" s="2">
        <v>95</v>
      </c>
      <c r="F117" s="2">
        <v>71</v>
      </c>
      <c r="G117" s="2" t="str">
        <f t="shared" si="2"/>
        <v>Pass</v>
      </c>
      <c r="H117" s="2" t="str" cm="1">
        <f t="array" ref="H117">_xlfn.IFS(F117&gt;=85,"Distinction",F117&gt;=60,"Pass",F117&lt;60,"Fail" )</f>
        <v>Pass</v>
      </c>
      <c r="I117" s="2" t="str">
        <f t="shared" si="3"/>
        <v>Needs Intervention</v>
      </c>
    </row>
    <row r="118" spans="1:9" x14ac:dyDescent="0.3">
      <c r="A118" s="2" t="s">
        <v>50</v>
      </c>
      <c r="B118" s="2" t="s">
        <v>51</v>
      </c>
      <c r="C118" s="2" t="s">
        <v>26</v>
      </c>
      <c r="D118" s="2">
        <v>73</v>
      </c>
      <c r="E118" s="2">
        <v>56</v>
      </c>
      <c r="F118" s="2">
        <v>90</v>
      </c>
      <c r="G118" s="2" t="str">
        <f t="shared" si="2"/>
        <v>Pass</v>
      </c>
      <c r="H118" s="2" t="str" cm="1">
        <f t="array" ref="H118">_xlfn.IFS(F118&gt;=85,"Distinction",F118&gt;=60,"Pass",F118&lt;60,"Fail" )</f>
        <v>Distinction</v>
      </c>
      <c r="I118" s="2" t="str">
        <f t="shared" si="3"/>
        <v>Needs Intervention</v>
      </c>
    </row>
    <row r="119" spans="1:9" x14ac:dyDescent="0.3">
      <c r="A119" s="2" t="s">
        <v>64</v>
      </c>
      <c r="B119" s="2" t="s">
        <v>65</v>
      </c>
      <c r="C119" s="2" t="s">
        <v>17</v>
      </c>
      <c r="D119" s="2">
        <v>61</v>
      </c>
      <c r="E119" s="2">
        <v>68</v>
      </c>
      <c r="F119" s="2">
        <v>75</v>
      </c>
      <c r="G119" s="2" t="str">
        <f t="shared" si="2"/>
        <v>Pass</v>
      </c>
      <c r="H119" s="2" t="str" cm="1">
        <f t="array" ref="H119">_xlfn.IFS(F119&gt;=85,"Distinction",F119&gt;=60,"Pass",F119&lt;60,"Fail" )</f>
        <v>Pass</v>
      </c>
      <c r="I119" s="2" t="str">
        <f t="shared" si="3"/>
        <v>Needs Intervention</v>
      </c>
    </row>
    <row r="120" spans="1:9" x14ac:dyDescent="0.3">
      <c r="A120" s="2" t="s">
        <v>66</v>
      </c>
      <c r="B120" s="2" t="s">
        <v>67</v>
      </c>
      <c r="C120" s="2" t="s">
        <v>14</v>
      </c>
      <c r="D120" s="2">
        <v>71</v>
      </c>
      <c r="E120" s="2">
        <v>71</v>
      </c>
      <c r="F120" s="2">
        <v>63</v>
      </c>
      <c r="G120" s="2" t="str">
        <f t="shared" si="2"/>
        <v>Pass</v>
      </c>
      <c r="H120" s="2" t="str" cm="1">
        <f t="array" ref="H120">_xlfn.IFS(F120&gt;=85,"Distinction",F120&gt;=60,"Pass",F120&lt;60,"Fail" )</f>
        <v>Pass</v>
      </c>
      <c r="I120" s="2" t="str">
        <f t="shared" si="3"/>
        <v>Needs Intervention</v>
      </c>
    </row>
    <row r="121" spans="1:9" x14ac:dyDescent="0.3">
      <c r="A121" s="2" t="s">
        <v>70</v>
      </c>
      <c r="B121" s="2" t="s">
        <v>71</v>
      </c>
      <c r="C121" s="2" t="s">
        <v>26</v>
      </c>
      <c r="D121" s="2">
        <v>74</v>
      </c>
      <c r="E121" s="2">
        <v>79</v>
      </c>
      <c r="F121" s="2">
        <v>74</v>
      </c>
      <c r="G121" s="2" t="str">
        <f t="shared" si="2"/>
        <v>Pass</v>
      </c>
      <c r="H121" s="2" t="str" cm="1">
        <f t="array" ref="H121">_xlfn.IFS(F121&gt;=85,"Distinction",F121&gt;=60,"Pass",F121&lt;60,"Fail" )</f>
        <v>Pass</v>
      </c>
      <c r="I121" s="2" t="str">
        <f t="shared" si="3"/>
        <v>Needs Intervention</v>
      </c>
    </row>
    <row r="122" spans="1:9" x14ac:dyDescent="0.3">
      <c r="A122" s="2" t="s">
        <v>80</v>
      </c>
      <c r="B122" s="2" t="s">
        <v>81</v>
      </c>
      <c r="C122" s="2" t="s">
        <v>26</v>
      </c>
      <c r="D122" s="2">
        <v>65</v>
      </c>
      <c r="E122" s="2">
        <v>36</v>
      </c>
      <c r="F122" s="2">
        <v>92</v>
      </c>
      <c r="G122" s="2" t="str">
        <f t="shared" si="2"/>
        <v>Pass</v>
      </c>
      <c r="H122" s="2" t="str" cm="1">
        <f t="array" ref="H122">_xlfn.IFS(F122&gt;=85,"Distinction",F122&gt;=60,"Pass",F122&lt;60,"Fail" )</f>
        <v>Distinction</v>
      </c>
      <c r="I122" s="2" t="str">
        <f t="shared" si="3"/>
        <v>Needs Intervention</v>
      </c>
    </row>
    <row r="123" spans="1:9" x14ac:dyDescent="0.3">
      <c r="A123" s="2" t="s">
        <v>82</v>
      </c>
      <c r="B123" s="2" t="s">
        <v>83</v>
      </c>
      <c r="C123" s="2" t="s">
        <v>17</v>
      </c>
      <c r="D123" s="2">
        <v>64</v>
      </c>
      <c r="E123" s="2">
        <v>86</v>
      </c>
      <c r="F123" s="2">
        <v>77</v>
      </c>
      <c r="G123" s="2" t="str">
        <f t="shared" si="2"/>
        <v>Pass</v>
      </c>
      <c r="H123" s="2" t="str" cm="1">
        <f t="array" ref="H123">_xlfn.IFS(F123&gt;=85,"Distinction",F123&gt;=60,"Pass",F123&lt;60,"Fail" )</f>
        <v>Pass</v>
      </c>
      <c r="I123" s="2" t="str">
        <f t="shared" si="3"/>
        <v>Needs Intervention</v>
      </c>
    </row>
    <row r="124" spans="1:9" x14ac:dyDescent="0.3">
      <c r="A124" s="2" t="s">
        <v>96</v>
      </c>
      <c r="B124" s="2" t="s">
        <v>97</v>
      </c>
      <c r="C124" s="2" t="s">
        <v>14</v>
      </c>
      <c r="D124" s="2">
        <v>56</v>
      </c>
      <c r="E124" s="2">
        <v>43</v>
      </c>
      <c r="F124" s="2">
        <v>76</v>
      </c>
      <c r="G124" s="2" t="str">
        <f t="shared" si="2"/>
        <v>Pass</v>
      </c>
      <c r="H124" s="2" t="str" cm="1">
        <f t="array" ref="H124">_xlfn.IFS(F124&gt;=85,"Distinction",F124&gt;=60,"Pass",F124&lt;60,"Fail" )</f>
        <v>Pass</v>
      </c>
      <c r="I124" s="2" t="str">
        <f t="shared" si="3"/>
        <v>Needs Intervention</v>
      </c>
    </row>
    <row r="125" spans="1:9" x14ac:dyDescent="0.3">
      <c r="A125" s="2" t="s">
        <v>98</v>
      </c>
      <c r="B125" s="2" t="s">
        <v>99</v>
      </c>
      <c r="C125" s="2" t="s">
        <v>17</v>
      </c>
      <c r="D125" s="2">
        <v>70</v>
      </c>
      <c r="E125" s="2">
        <v>44</v>
      </c>
      <c r="F125" s="2">
        <v>85</v>
      </c>
      <c r="G125" s="2" t="str">
        <f t="shared" si="2"/>
        <v>Pass</v>
      </c>
      <c r="H125" s="2" t="str" cm="1">
        <f t="array" ref="H125">_xlfn.IFS(F125&gt;=85,"Distinction",F125&gt;=60,"Pass",F125&lt;60,"Fail" )</f>
        <v>Distinction</v>
      </c>
      <c r="I125" s="2" t="str">
        <f t="shared" si="3"/>
        <v>Needs Intervention</v>
      </c>
    </row>
    <row r="126" spans="1:9" x14ac:dyDescent="0.3">
      <c r="A126" s="2" t="s">
        <v>106</v>
      </c>
      <c r="B126" s="2" t="s">
        <v>107</v>
      </c>
      <c r="C126" s="2" t="s">
        <v>14</v>
      </c>
      <c r="D126" s="2">
        <v>53</v>
      </c>
      <c r="E126" s="2">
        <v>80</v>
      </c>
      <c r="F126" s="2">
        <v>55</v>
      </c>
      <c r="G126" s="2" t="str">
        <f t="shared" si="2"/>
        <v>Pass</v>
      </c>
      <c r="H126" s="2" t="str" cm="1">
        <f t="array" ref="H126">_xlfn.IFS(F126&gt;=85,"Distinction",F126&gt;=60,"Pass",F126&lt;60,"Fail" )</f>
        <v>Fail</v>
      </c>
      <c r="I126" s="2" t="str">
        <f t="shared" si="3"/>
        <v>Needs Intervention</v>
      </c>
    </row>
    <row r="127" spans="1:9" x14ac:dyDescent="0.3">
      <c r="A127" s="2" t="s">
        <v>110</v>
      </c>
      <c r="B127" s="2" t="s">
        <v>111</v>
      </c>
      <c r="C127" s="2" t="s">
        <v>11</v>
      </c>
      <c r="D127" s="2">
        <v>63</v>
      </c>
      <c r="E127" s="2">
        <v>87</v>
      </c>
      <c r="F127" s="2">
        <v>88</v>
      </c>
      <c r="G127" s="2" t="str">
        <f t="shared" si="2"/>
        <v>Pass</v>
      </c>
      <c r="H127" s="2" t="str" cm="1">
        <f t="array" ref="H127">_xlfn.IFS(F127&gt;=85,"Distinction",F127&gt;=60,"Pass",F127&lt;60,"Fail" )</f>
        <v>Distinction</v>
      </c>
      <c r="I127" s="2" t="str">
        <f t="shared" si="3"/>
        <v>Needs Intervention</v>
      </c>
    </row>
    <row r="128" spans="1:9" x14ac:dyDescent="0.3">
      <c r="A128" s="2" t="s">
        <v>118</v>
      </c>
      <c r="B128" s="2" t="s">
        <v>119</v>
      </c>
      <c r="C128" s="2" t="s">
        <v>17</v>
      </c>
      <c r="D128" s="2">
        <v>51</v>
      </c>
      <c r="E128" s="2">
        <v>87</v>
      </c>
      <c r="F128" s="2">
        <v>52</v>
      </c>
      <c r="G128" s="2" t="str">
        <f t="shared" si="2"/>
        <v>Pass</v>
      </c>
      <c r="H128" s="2" t="str" cm="1">
        <f t="array" ref="H128">_xlfn.IFS(F128&gt;=85,"Distinction",F128&gt;=60,"Pass",F128&lt;60,"Fail" )</f>
        <v>Fail</v>
      </c>
      <c r="I128" s="2" t="str">
        <f t="shared" si="3"/>
        <v>Needs Intervention</v>
      </c>
    </row>
    <row r="129" spans="1:9" x14ac:dyDescent="0.3">
      <c r="A129" s="2" t="s">
        <v>126</v>
      </c>
      <c r="B129" s="2" t="s">
        <v>127</v>
      </c>
      <c r="C129" s="2" t="s">
        <v>14</v>
      </c>
      <c r="D129" s="2">
        <v>56</v>
      </c>
      <c r="E129" s="2">
        <v>71</v>
      </c>
      <c r="F129" s="2">
        <v>93</v>
      </c>
      <c r="G129" s="2" t="str">
        <f t="shared" si="2"/>
        <v>Pass</v>
      </c>
      <c r="H129" s="2" t="str" cm="1">
        <f t="array" ref="H129">_xlfn.IFS(F129&gt;=85,"Distinction",F129&gt;=60,"Pass",F129&lt;60,"Fail" )</f>
        <v>Distinction</v>
      </c>
      <c r="I129" s="2" t="str">
        <f t="shared" si="3"/>
        <v>Needs Intervention</v>
      </c>
    </row>
    <row r="130" spans="1:9" x14ac:dyDescent="0.3">
      <c r="A130" s="2" t="s">
        <v>130</v>
      </c>
      <c r="B130" s="2" t="s">
        <v>131</v>
      </c>
      <c r="C130" s="2" t="s">
        <v>14</v>
      </c>
      <c r="D130" s="2">
        <v>57</v>
      </c>
      <c r="E130" s="2">
        <v>44</v>
      </c>
      <c r="F130" s="2">
        <v>68</v>
      </c>
      <c r="G130" s="2" t="str">
        <f t="shared" ref="G130:G193" si="4">IF($F130&gt;=50,"Pass","Fail")</f>
        <v>Pass</v>
      </c>
      <c r="H130" s="2" t="str" cm="1">
        <f t="array" ref="H130">_xlfn.IFS(F130&gt;=85,"Distinction",F130&gt;=60,"Pass",F130&lt;60,"Fail" )</f>
        <v>Pass</v>
      </c>
      <c r="I130" s="2" t="str">
        <f t="shared" ref="I130:I193" si="5">IF(OR(D130&lt;75,F130&lt;50),"Needs Intervention","OK")</f>
        <v>Needs Intervention</v>
      </c>
    </row>
    <row r="131" spans="1:9" x14ac:dyDescent="0.3">
      <c r="A131" s="2" t="s">
        <v>136</v>
      </c>
      <c r="B131" s="2" t="s">
        <v>137</v>
      </c>
      <c r="C131" s="2" t="s">
        <v>11</v>
      </c>
      <c r="D131" s="2">
        <v>63</v>
      </c>
      <c r="E131" s="2">
        <v>37</v>
      </c>
      <c r="F131" s="2">
        <v>73</v>
      </c>
      <c r="G131" s="2" t="str">
        <f t="shared" si="4"/>
        <v>Pass</v>
      </c>
      <c r="H131" s="2" t="str" cm="1">
        <f t="array" ref="H131">_xlfn.IFS(F131&gt;=85,"Distinction",F131&gt;=60,"Pass",F131&lt;60,"Fail" )</f>
        <v>Pass</v>
      </c>
      <c r="I131" s="2" t="str">
        <f t="shared" si="5"/>
        <v>Needs Intervention</v>
      </c>
    </row>
    <row r="132" spans="1:9" x14ac:dyDescent="0.3">
      <c r="A132" s="2" t="s">
        <v>138</v>
      </c>
      <c r="B132" s="2" t="s">
        <v>139</v>
      </c>
      <c r="C132" s="2" t="s">
        <v>31</v>
      </c>
      <c r="D132" s="2">
        <v>66</v>
      </c>
      <c r="E132" s="2">
        <v>82</v>
      </c>
      <c r="F132" s="2">
        <v>54</v>
      </c>
      <c r="G132" s="2" t="str">
        <f t="shared" si="4"/>
        <v>Pass</v>
      </c>
      <c r="H132" s="2" t="str" cm="1">
        <f t="array" ref="H132">_xlfn.IFS(F132&gt;=85,"Distinction",F132&gt;=60,"Pass",F132&lt;60,"Fail" )</f>
        <v>Fail</v>
      </c>
      <c r="I132" s="2" t="str">
        <f t="shared" si="5"/>
        <v>Needs Intervention</v>
      </c>
    </row>
    <row r="133" spans="1:9" x14ac:dyDescent="0.3">
      <c r="A133" s="2" t="s">
        <v>146</v>
      </c>
      <c r="B133" s="2" t="s">
        <v>147</v>
      </c>
      <c r="C133" s="2" t="s">
        <v>17</v>
      </c>
      <c r="D133" s="2">
        <v>53</v>
      </c>
      <c r="E133" s="2">
        <v>35</v>
      </c>
      <c r="F133" s="2">
        <v>97</v>
      </c>
      <c r="G133" s="2" t="str">
        <f t="shared" si="4"/>
        <v>Pass</v>
      </c>
      <c r="H133" s="2" t="str" cm="1">
        <f t="array" ref="H133">_xlfn.IFS(F133&gt;=85,"Distinction",F133&gt;=60,"Pass",F133&lt;60,"Fail" )</f>
        <v>Distinction</v>
      </c>
      <c r="I133" s="2" t="str">
        <f t="shared" si="5"/>
        <v>Needs Intervention</v>
      </c>
    </row>
    <row r="134" spans="1:9" x14ac:dyDescent="0.3">
      <c r="A134" s="2" t="s">
        <v>150</v>
      </c>
      <c r="B134" s="2" t="s">
        <v>151</v>
      </c>
      <c r="C134" s="2" t="s">
        <v>17</v>
      </c>
      <c r="D134" s="2">
        <v>55</v>
      </c>
      <c r="E134" s="2">
        <v>84</v>
      </c>
      <c r="F134" s="2">
        <v>96</v>
      </c>
      <c r="G134" s="2" t="str">
        <f t="shared" si="4"/>
        <v>Pass</v>
      </c>
      <c r="H134" s="2" t="str" cm="1">
        <f t="array" ref="H134">_xlfn.IFS(F134&gt;=85,"Distinction",F134&gt;=60,"Pass",F134&lt;60,"Fail" )</f>
        <v>Distinction</v>
      </c>
      <c r="I134" s="2" t="str">
        <f t="shared" si="5"/>
        <v>Needs Intervention</v>
      </c>
    </row>
    <row r="135" spans="1:9" x14ac:dyDescent="0.3">
      <c r="A135" s="2" t="s">
        <v>154</v>
      </c>
      <c r="B135" s="2" t="s">
        <v>155</v>
      </c>
      <c r="C135" s="2" t="s">
        <v>17</v>
      </c>
      <c r="D135" s="2">
        <v>53</v>
      </c>
      <c r="E135" s="2">
        <v>81</v>
      </c>
      <c r="F135" s="2">
        <v>63</v>
      </c>
      <c r="G135" s="2" t="str">
        <f t="shared" si="4"/>
        <v>Pass</v>
      </c>
      <c r="H135" s="2" t="str" cm="1">
        <f t="array" ref="H135">_xlfn.IFS(F135&gt;=85,"Distinction",F135&gt;=60,"Pass",F135&lt;60,"Fail" )</f>
        <v>Pass</v>
      </c>
      <c r="I135" s="2" t="str">
        <f t="shared" si="5"/>
        <v>Needs Intervention</v>
      </c>
    </row>
    <row r="136" spans="1:9" x14ac:dyDescent="0.3">
      <c r="A136" s="2" t="s">
        <v>158</v>
      </c>
      <c r="B136" s="2" t="s">
        <v>159</v>
      </c>
      <c r="C136" s="2" t="s">
        <v>26</v>
      </c>
      <c r="D136" s="2">
        <v>67</v>
      </c>
      <c r="E136" s="2">
        <v>42</v>
      </c>
      <c r="F136" s="2">
        <v>69</v>
      </c>
      <c r="G136" s="2" t="str">
        <f t="shared" si="4"/>
        <v>Pass</v>
      </c>
      <c r="H136" s="2" t="str" cm="1">
        <f t="array" ref="H136">_xlfn.IFS(F136&gt;=85,"Distinction",F136&gt;=60,"Pass",F136&lt;60,"Fail" )</f>
        <v>Pass</v>
      </c>
      <c r="I136" s="2" t="str">
        <f t="shared" si="5"/>
        <v>Needs Intervention</v>
      </c>
    </row>
    <row r="137" spans="1:9" x14ac:dyDescent="0.3">
      <c r="A137" s="2" t="s">
        <v>166</v>
      </c>
      <c r="B137" s="2" t="s">
        <v>167</v>
      </c>
      <c r="C137" s="2" t="s">
        <v>26</v>
      </c>
      <c r="D137" s="2">
        <v>59</v>
      </c>
      <c r="E137" s="2">
        <v>92</v>
      </c>
      <c r="F137" s="2">
        <v>81</v>
      </c>
      <c r="G137" s="2" t="str">
        <f t="shared" si="4"/>
        <v>Pass</v>
      </c>
      <c r="H137" s="2" t="str" cm="1">
        <f t="array" ref="H137">_xlfn.IFS(F137&gt;=85,"Distinction",F137&gt;=60,"Pass",F137&lt;60,"Fail" )</f>
        <v>Pass</v>
      </c>
      <c r="I137" s="2" t="str">
        <f t="shared" si="5"/>
        <v>Needs Intervention</v>
      </c>
    </row>
    <row r="138" spans="1:9" x14ac:dyDescent="0.3">
      <c r="A138" s="2" t="s">
        <v>170</v>
      </c>
      <c r="B138" s="2" t="s">
        <v>171</v>
      </c>
      <c r="C138" s="2" t="s">
        <v>17</v>
      </c>
      <c r="D138" s="2">
        <v>63</v>
      </c>
      <c r="E138" s="2">
        <v>87</v>
      </c>
      <c r="F138" s="2">
        <v>93</v>
      </c>
      <c r="G138" s="2" t="str">
        <f t="shared" si="4"/>
        <v>Pass</v>
      </c>
      <c r="H138" s="2" t="str" cm="1">
        <f t="array" ref="H138">_xlfn.IFS(F138&gt;=85,"Distinction",F138&gt;=60,"Pass",F138&lt;60,"Fail" )</f>
        <v>Distinction</v>
      </c>
      <c r="I138" s="2" t="str">
        <f t="shared" si="5"/>
        <v>Needs Intervention</v>
      </c>
    </row>
    <row r="139" spans="1:9" x14ac:dyDescent="0.3">
      <c r="A139" s="2" t="s">
        <v>176</v>
      </c>
      <c r="B139" s="2" t="s">
        <v>177</v>
      </c>
      <c r="C139" s="2" t="s">
        <v>17</v>
      </c>
      <c r="D139" s="2">
        <v>64</v>
      </c>
      <c r="E139" s="2">
        <v>52</v>
      </c>
      <c r="F139" s="2">
        <v>88</v>
      </c>
      <c r="G139" s="2" t="str">
        <f t="shared" si="4"/>
        <v>Pass</v>
      </c>
      <c r="H139" s="2" t="str" cm="1">
        <f t="array" ref="H139">_xlfn.IFS(F139&gt;=85,"Distinction",F139&gt;=60,"Pass",F139&lt;60,"Fail" )</f>
        <v>Distinction</v>
      </c>
      <c r="I139" s="2" t="str">
        <f t="shared" si="5"/>
        <v>Needs Intervention</v>
      </c>
    </row>
    <row r="140" spans="1:9" x14ac:dyDescent="0.3">
      <c r="A140" s="2" t="s">
        <v>178</v>
      </c>
      <c r="B140" s="2" t="s">
        <v>179</v>
      </c>
      <c r="C140" s="2" t="s">
        <v>31</v>
      </c>
      <c r="D140" s="2">
        <v>57</v>
      </c>
      <c r="E140" s="2">
        <v>38</v>
      </c>
      <c r="F140" s="2">
        <v>99</v>
      </c>
      <c r="G140" s="2" t="str">
        <f t="shared" si="4"/>
        <v>Pass</v>
      </c>
      <c r="H140" s="2" t="str" cm="1">
        <f t="array" ref="H140">_xlfn.IFS(F140&gt;=85,"Distinction",F140&gt;=60,"Pass",F140&lt;60,"Fail" )</f>
        <v>Distinction</v>
      </c>
      <c r="I140" s="2" t="str">
        <f t="shared" si="5"/>
        <v>Needs Intervention</v>
      </c>
    </row>
    <row r="141" spans="1:9" x14ac:dyDescent="0.3">
      <c r="A141" s="2" t="s">
        <v>180</v>
      </c>
      <c r="B141" s="2" t="s">
        <v>181</v>
      </c>
      <c r="C141" s="2" t="s">
        <v>26</v>
      </c>
      <c r="D141" s="2">
        <v>63</v>
      </c>
      <c r="E141" s="2">
        <v>41</v>
      </c>
      <c r="F141" s="2">
        <v>62</v>
      </c>
      <c r="G141" s="2" t="str">
        <f t="shared" si="4"/>
        <v>Pass</v>
      </c>
      <c r="H141" s="2" t="str" cm="1">
        <f t="array" ref="H141">_xlfn.IFS(F141&gt;=85,"Distinction",F141&gt;=60,"Pass",F141&lt;60,"Fail" )</f>
        <v>Pass</v>
      </c>
      <c r="I141" s="2" t="str">
        <f t="shared" si="5"/>
        <v>Needs Intervention</v>
      </c>
    </row>
    <row r="142" spans="1:9" x14ac:dyDescent="0.3">
      <c r="A142" s="2" t="s">
        <v>182</v>
      </c>
      <c r="B142" s="2" t="s">
        <v>183</v>
      </c>
      <c r="C142" s="2" t="s">
        <v>17</v>
      </c>
      <c r="D142" s="2">
        <v>72</v>
      </c>
      <c r="E142" s="2">
        <v>30</v>
      </c>
      <c r="F142" s="2">
        <v>82</v>
      </c>
      <c r="G142" s="2" t="str">
        <f t="shared" si="4"/>
        <v>Pass</v>
      </c>
      <c r="H142" s="2" t="str" cm="1">
        <f t="array" ref="H142">_xlfn.IFS(F142&gt;=85,"Distinction",F142&gt;=60,"Pass",F142&lt;60,"Fail" )</f>
        <v>Pass</v>
      </c>
      <c r="I142" s="2" t="str">
        <f t="shared" si="5"/>
        <v>Needs Intervention</v>
      </c>
    </row>
    <row r="143" spans="1:9" x14ac:dyDescent="0.3">
      <c r="A143" s="2" t="s">
        <v>186</v>
      </c>
      <c r="B143" s="2" t="s">
        <v>187</v>
      </c>
      <c r="C143" s="2" t="s">
        <v>26</v>
      </c>
      <c r="D143" s="2">
        <v>70</v>
      </c>
      <c r="E143" s="2">
        <v>30</v>
      </c>
      <c r="F143" s="2">
        <v>50</v>
      </c>
      <c r="G143" s="2" t="str">
        <f t="shared" si="4"/>
        <v>Pass</v>
      </c>
      <c r="H143" s="2" t="str" cm="1">
        <f t="array" ref="H143">_xlfn.IFS(F143&gt;=85,"Distinction",F143&gt;=60,"Pass",F143&lt;60,"Fail" )</f>
        <v>Fail</v>
      </c>
      <c r="I143" s="2" t="str">
        <f t="shared" si="5"/>
        <v>Needs Intervention</v>
      </c>
    </row>
    <row r="144" spans="1:9" x14ac:dyDescent="0.3">
      <c r="A144" s="2" t="s">
        <v>188</v>
      </c>
      <c r="B144" s="2" t="s">
        <v>189</v>
      </c>
      <c r="C144" s="2" t="s">
        <v>31</v>
      </c>
      <c r="D144" s="2">
        <v>65</v>
      </c>
      <c r="E144" s="2">
        <v>63</v>
      </c>
      <c r="F144" s="2">
        <v>99</v>
      </c>
      <c r="G144" s="2" t="str">
        <f t="shared" si="4"/>
        <v>Pass</v>
      </c>
      <c r="H144" s="2" t="str" cm="1">
        <f t="array" ref="H144">_xlfn.IFS(F144&gt;=85,"Distinction",F144&gt;=60,"Pass",F144&lt;60,"Fail" )</f>
        <v>Distinction</v>
      </c>
      <c r="I144" s="2" t="str">
        <f t="shared" si="5"/>
        <v>Needs Intervention</v>
      </c>
    </row>
    <row r="145" spans="1:9" x14ac:dyDescent="0.3">
      <c r="A145" s="2" t="s">
        <v>196</v>
      </c>
      <c r="B145" s="2" t="s">
        <v>197</v>
      </c>
      <c r="C145" s="2" t="s">
        <v>11</v>
      </c>
      <c r="D145" s="2">
        <v>73</v>
      </c>
      <c r="E145" s="2">
        <v>90</v>
      </c>
      <c r="F145" s="2">
        <v>91</v>
      </c>
      <c r="G145" s="2" t="str">
        <f t="shared" si="4"/>
        <v>Pass</v>
      </c>
      <c r="H145" s="2" t="str" cm="1">
        <f t="array" ref="H145">_xlfn.IFS(F145&gt;=85,"Distinction",F145&gt;=60,"Pass",F145&lt;60,"Fail" )</f>
        <v>Distinction</v>
      </c>
      <c r="I145" s="2" t="str">
        <f t="shared" si="5"/>
        <v>Needs Intervention</v>
      </c>
    </row>
    <row r="146" spans="1:9" x14ac:dyDescent="0.3">
      <c r="A146" s="2" t="s">
        <v>200</v>
      </c>
      <c r="B146" s="2" t="s">
        <v>201</v>
      </c>
      <c r="C146" s="2" t="s">
        <v>31</v>
      </c>
      <c r="D146" s="2">
        <v>74</v>
      </c>
      <c r="E146" s="2">
        <v>92</v>
      </c>
      <c r="F146" s="2">
        <v>84</v>
      </c>
      <c r="G146" s="2" t="str">
        <f t="shared" si="4"/>
        <v>Pass</v>
      </c>
      <c r="H146" s="2" t="str" cm="1">
        <f t="array" ref="H146">_xlfn.IFS(F146&gt;=85,"Distinction",F146&gt;=60,"Pass",F146&lt;60,"Fail" )</f>
        <v>Pass</v>
      </c>
      <c r="I146" s="2" t="str">
        <f t="shared" si="5"/>
        <v>Needs Intervention</v>
      </c>
    </row>
    <row r="147" spans="1:9" x14ac:dyDescent="0.3">
      <c r="A147" s="2" t="s">
        <v>208</v>
      </c>
      <c r="B147" s="2" t="s">
        <v>209</v>
      </c>
      <c r="C147" s="2" t="s">
        <v>31</v>
      </c>
      <c r="D147" s="2">
        <v>64</v>
      </c>
      <c r="E147" s="2">
        <v>55</v>
      </c>
      <c r="F147" s="2">
        <v>69</v>
      </c>
      <c r="G147" s="2" t="str">
        <f t="shared" si="4"/>
        <v>Pass</v>
      </c>
      <c r="H147" s="2" t="str" cm="1">
        <f t="array" ref="H147">_xlfn.IFS(F147&gt;=85,"Distinction",F147&gt;=60,"Pass",F147&lt;60,"Fail" )</f>
        <v>Pass</v>
      </c>
      <c r="I147" s="2" t="str">
        <f t="shared" si="5"/>
        <v>Needs Intervention</v>
      </c>
    </row>
    <row r="148" spans="1:9" x14ac:dyDescent="0.3">
      <c r="A148" s="2" t="s">
        <v>212</v>
      </c>
      <c r="B148" s="2" t="s">
        <v>213</v>
      </c>
      <c r="C148" s="2" t="s">
        <v>26</v>
      </c>
      <c r="D148" s="2">
        <v>50</v>
      </c>
      <c r="E148" s="2">
        <v>80</v>
      </c>
      <c r="F148" s="2">
        <v>53</v>
      </c>
      <c r="G148" s="2" t="str">
        <f t="shared" si="4"/>
        <v>Pass</v>
      </c>
      <c r="H148" s="2" t="str" cm="1">
        <f t="array" ref="H148">_xlfn.IFS(F148&gt;=85,"Distinction",F148&gt;=60,"Pass",F148&lt;60,"Fail" )</f>
        <v>Fail</v>
      </c>
      <c r="I148" s="2" t="str">
        <f t="shared" si="5"/>
        <v>Needs Intervention</v>
      </c>
    </row>
    <row r="149" spans="1:9" x14ac:dyDescent="0.3">
      <c r="A149" s="2" t="s">
        <v>216</v>
      </c>
      <c r="B149" s="2" t="s">
        <v>217</v>
      </c>
      <c r="C149" s="2" t="s">
        <v>11</v>
      </c>
      <c r="D149" s="2">
        <v>56</v>
      </c>
      <c r="E149" s="2">
        <v>58</v>
      </c>
      <c r="F149" s="2">
        <v>95</v>
      </c>
      <c r="G149" s="2" t="str">
        <f t="shared" si="4"/>
        <v>Pass</v>
      </c>
      <c r="H149" s="2" t="str" cm="1">
        <f t="array" ref="H149">_xlfn.IFS(F149&gt;=85,"Distinction",F149&gt;=60,"Pass",F149&lt;60,"Fail" )</f>
        <v>Distinction</v>
      </c>
      <c r="I149" s="2" t="str">
        <f t="shared" si="5"/>
        <v>Needs Intervention</v>
      </c>
    </row>
    <row r="150" spans="1:9" x14ac:dyDescent="0.3">
      <c r="A150" s="2" t="s">
        <v>222</v>
      </c>
      <c r="B150" s="2" t="s">
        <v>223</v>
      </c>
      <c r="C150" s="2" t="s">
        <v>17</v>
      </c>
      <c r="D150" s="2">
        <v>50</v>
      </c>
      <c r="E150" s="2">
        <v>91</v>
      </c>
      <c r="F150" s="2">
        <v>80</v>
      </c>
      <c r="G150" s="2" t="str">
        <f t="shared" si="4"/>
        <v>Pass</v>
      </c>
      <c r="H150" s="2" t="str" cm="1">
        <f t="array" ref="H150">_xlfn.IFS(F150&gt;=85,"Distinction",F150&gt;=60,"Pass",F150&lt;60,"Fail" )</f>
        <v>Pass</v>
      </c>
      <c r="I150" s="2" t="str">
        <f t="shared" si="5"/>
        <v>Needs Intervention</v>
      </c>
    </row>
    <row r="151" spans="1:9" x14ac:dyDescent="0.3">
      <c r="A151" s="2" t="s">
        <v>226</v>
      </c>
      <c r="B151" s="2" t="s">
        <v>227</v>
      </c>
      <c r="C151" s="2" t="s">
        <v>14</v>
      </c>
      <c r="D151" s="2">
        <v>57</v>
      </c>
      <c r="E151" s="2">
        <v>45</v>
      </c>
      <c r="F151" s="2">
        <v>86</v>
      </c>
      <c r="G151" s="2" t="str">
        <f t="shared" si="4"/>
        <v>Pass</v>
      </c>
      <c r="H151" s="2" t="str" cm="1">
        <f t="array" ref="H151">_xlfn.IFS(F151&gt;=85,"Distinction",F151&gt;=60,"Pass",F151&lt;60,"Fail" )</f>
        <v>Distinction</v>
      </c>
      <c r="I151" s="2" t="str">
        <f t="shared" si="5"/>
        <v>Needs Intervention</v>
      </c>
    </row>
    <row r="152" spans="1:9" x14ac:dyDescent="0.3">
      <c r="A152" s="2" t="s">
        <v>228</v>
      </c>
      <c r="B152" s="2" t="s">
        <v>229</v>
      </c>
      <c r="C152" s="2" t="s">
        <v>31</v>
      </c>
      <c r="D152" s="2">
        <v>73</v>
      </c>
      <c r="E152" s="2">
        <v>77</v>
      </c>
      <c r="F152" s="2">
        <v>95</v>
      </c>
      <c r="G152" s="2" t="str">
        <f t="shared" si="4"/>
        <v>Pass</v>
      </c>
      <c r="H152" s="2" t="str" cm="1">
        <f t="array" ref="H152">_xlfn.IFS(F152&gt;=85,"Distinction",F152&gt;=60,"Pass",F152&lt;60,"Fail" )</f>
        <v>Distinction</v>
      </c>
      <c r="I152" s="2" t="str">
        <f t="shared" si="5"/>
        <v>Needs Intervention</v>
      </c>
    </row>
    <row r="153" spans="1:9" x14ac:dyDescent="0.3">
      <c r="A153" s="2" t="s">
        <v>234</v>
      </c>
      <c r="B153" s="2" t="s">
        <v>235</v>
      </c>
      <c r="C153" s="2" t="s">
        <v>26</v>
      </c>
      <c r="D153" s="2">
        <v>66</v>
      </c>
      <c r="E153" s="2">
        <v>52</v>
      </c>
      <c r="F153" s="2">
        <v>80</v>
      </c>
      <c r="G153" s="2" t="str">
        <f t="shared" si="4"/>
        <v>Pass</v>
      </c>
      <c r="H153" s="2" t="str" cm="1">
        <f t="array" ref="H153">_xlfn.IFS(F153&gt;=85,"Distinction",F153&gt;=60,"Pass",F153&lt;60,"Fail" )</f>
        <v>Pass</v>
      </c>
      <c r="I153" s="2" t="str">
        <f t="shared" si="5"/>
        <v>Needs Intervention</v>
      </c>
    </row>
    <row r="154" spans="1:9" x14ac:dyDescent="0.3">
      <c r="A154" s="2" t="s">
        <v>236</v>
      </c>
      <c r="B154" s="2" t="s">
        <v>237</v>
      </c>
      <c r="C154" s="2" t="s">
        <v>17</v>
      </c>
      <c r="D154" s="2">
        <v>57</v>
      </c>
      <c r="E154" s="2">
        <v>39</v>
      </c>
      <c r="F154" s="2">
        <v>74</v>
      </c>
      <c r="G154" s="2" t="str">
        <f t="shared" si="4"/>
        <v>Pass</v>
      </c>
      <c r="H154" s="2" t="str" cm="1">
        <f t="array" ref="H154">_xlfn.IFS(F154&gt;=85,"Distinction",F154&gt;=60,"Pass",F154&lt;60,"Fail" )</f>
        <v>Pass</v>
      </c>
      <c r="I154" s="2" t="str">
        <f t="shared" si="5"/>
        <v>Needs Intervention</v>
      </c>
    </row>
    <row r="155" spans="1:9" x14ac:dyDescent="0.3">
      <c r="A155" s="2" t="s">
        <v>244</v>
      </c>
      <c r="B155" s="2" t="s">
        <v>245</v>
      </c>
      <c r="C155" s="2" t="s">
        <v>26</v>
      </c>
      <c r="D155" s="2">
        <v>54</v>
      </c>
      <c r="E155" s="2">
        <v>39</v>
      </c>
      <c r="F155" s="2">
        <v>55</v>
      </c>
      <c r="G155" s="2" t="str">
        <f t="shared" si="4"/>
        <v>Pass</v>
      </c>
      <c r="H155" s="2" t="str" cm="1">
        <f t="array" ref="H155">_xlfn.IFS(F155&gt;=85,"Distinction",F155&gt;=60,"Pass",F155&lt;60,"Fail" )</f>
        <v>Fail</v>
      </c>
      <c r="I155" s="2" t="str">
        <f t="shared" si="5"/>
        <v>Needs Intervention</v>
      </c>
    </row>
    <row r="156" spans="1:9" x14ac:dyDescent="0.3">
      <c r="A156" s="2" t="s">
        <v>254</v>
      </c>
      <c r="B156" s="2" t="s">
        <v>255</v>
      </c>
      <c r="C156" s="2" t="s">
        <v>11</v>
      </c>
      <c r="D156" s="2">
        <v>56</v>
      </c>
      <c r="E156" s="2">
        <v>33</v>
      </c>
      <c r="F156" s="2">
        <v>76</v>
      </c>
      <c r="G156" s="2" t="str">
        <f t="shared" si="4"/>
        <v>Pass</v>
      </c>
      <c r="H156" s="2" t="str" cm="1">
        <f t="array" ref="H156">_xlfn.IFS(F156&gt;=85,"Distinction",F156&gt;=60,"Pass",F156&lt;60,"Fail" )</f>
        <v>Pass</v>
      </c>
      <c r="I156" s="2" t="str">
        <f t="shared" si="5"/>
        <v>Needs Intervention</v>
      </c>
    </row>
    <row r="157" spans="1:9" x14ac:dyDescent="0.3">
      <c r="A157" s="2" t="s">
        <v>260</v>
      </c>
      <c r="B157" s="2" t="s">
        <v>261</v>
      </c>
      <c r="C157" s="2" t="s">
        <v>31</v>
      </c>
      <c r="D157" s="2">
        <v>61</v>
      </c>
      <c r="E157" s="2">
        <v>31</v>
      </c>
      <c r="F157" s="2">
        <v>93</v>
      </c>
      <c r="G157" s="2" t="str">
        <f t="shared" si="4"/>
        <v>Pass</v>
      </c>
      <c r="H157" s="2" t="str" cm="1">
        <f t="array" ref="H157">_xlfn.IFS(F157&gt;=85,"Distinction",F157&gt;=60,"Pass",F157&lt;60,"Fail" )</f>
        <v>Distinction</v>
      </c>
      <c r="I157" s="2" t="str">
        <f t="shared" si="5"/>
        <v>Needs Intervention</v>
      </c>
    </row>
    <row r="158" spans="1:9" x14ac:dyDescent="0.3">
      <c r="A158" s="2" t="s">
        <v>270</v>
      </c>
      <c r="B158" s="2" t="s">
        <v>271</v>
      </c>
      <c r="C158" s="2" t="s">
        <v>26</v>
      </c>
      <c r="D158" s="2">
        <v>73</v>
      </c>
      <c r="E158" s="2">
        <v>64</v>
      </c>
      <c r="F158" s="2">
        <v>62</v>
      </c>
      <c r="G158" s="2" t="str">
        <f t="shared" si="4"/>
        <v>Pass</v>
      </c>
      <c r="H158" s="2" t="str" cm="1">
        <f t="array" ref="H158">_xlfn.IFS(F158&gt;=85,"Distinction",F158&gt;=60,"Pass",F158&lt;60,"Fail" )</f>
        <v>Pass</v>
      </c>
      <c r="I158" s="2" t="str">
        <f t="shared" si="5"/>
        <v>Needs Intervention</v>
      </c>
    </row>
    <row r="159" spans="1:9" x14ac:dyDescent="0.3">
      <c r="A159" s="2" t="s">
        <v>280</v>
      </c>
      <c r="B159" s="2" t="s">
        <v>281</v>
      </c>
      <c r="C159" s="2" t="s">
        <v>26</v>
      </c>
      <c r="D159" s="2">
        <v>71</v>
      </c>
      <c r="E159" s="2">
        <v>72</v>
      </c>
      <c r="F159" s="2">
        <v>52</v>
      </c>
      <c r="G159" s="2" t="str">
        <f t="shared" si="4"/>
        <v>Pass</v>
      </c>
      <c r="H159" s="2" t="str" cm="1">
        <f t="array" ref="H159">_xlfn.IFS(F159&gt;=85,"Distinction",F159&gt;=60,"Pass",F159&lt;60,"Fail" )</f>
        <v>Fail</v>
      </c>
      <c r="I159" s="2" t="str">
        <f t="shared" si="5"/>
        <v>Needs Intervention</v>
      </c>
    </row>
    <row r="160" spans="1:9" x14ac:dyDescent="0.3">
      <c r="A160" s="2" t="s">
        <v>294</v>
      </c>
      <c r="B160" s="2" t="s">
        <v>295</v>
      </c>
      <c r="C160" s="2" t="s">
        <v>31</v>
      </c>
      <c r="D160" s="2">
        <v>63</v>
      </c>
      <c r="E160" s="2">
        <v>73</v>
      </c>
      <c r="F160" s="2">
        <v>94</v>
      </c>
      <c r="G160" s="2" t="str">
        <f t="shared" si="4"/>
        <v>Pass</v>
      </c>
      <c r="H160" s="2" t="str" cm="1">
        <f t="array" ref="H160">_xlfn.IFS(F160&gt;=85,"Distinction",F160&gt;=60,"Pass",F160&lt;60,"Fail" )</f>
        <v>Distinction</v>
      </c>
      <c r="I160" s="2" t="str">
        <f t="shared" si="5"/>
        <v>Needs Intervention</v>
      </c>
    </row>
    <row r="161" spans="1:9" x14ac:dyDescent="0.3">
      <c r="A161" s="2" t="s">
        <v>296</v>
      </c>
      <c r="B161" s="2" t="s">
        <v>297</v>
      </c>
      <c r="C161" s="2" t="s">
        <v>31</v>
      </c>
      <c r="D161" s="2">
        <v>52</v>
      </c>
      <c r="E161" s="2">
        <v>58</v>
      </c>
      <c r="F161" s="2">
        <v>92</v>
      </c>
      <c r="G161" s="2" t="str">
        <f t="shared" si="4"/>
        <v>Pass</v>
      </c>
      <c r="H161" s="2" t="str" cm="1">
        <f t="array" ref="H161">_xlfn.IFS(F161&gt;=85,"Distinction",F161&gt;=60,"Pass",F161&lt;60,"Fail" )</f>
        <v>Distinction</v>
      </c>
      <c r="I161" s="2" t="str">
        <f t="shared" si="5"/>
        <v>Needs Intervention</v>
      </c>
    </row>
    <row r="162" spans="1:9" x14ac:dyDescent="0.3">
      <c r="A162" s="2" t="s">
        <v>304</v>
      </c>
      <c r="B162" s="2" t="s">
        <v>305</v>
      </c>
      <c r="C162" s="2" t="s">
        <v>17</v>
      </c>
      <c r="D162" s="2">
        <v>63</v>
      </c>
      <c r="E162" s="2">
        <v>31</v>
      </c>
      <c r="F162" s="2">
        <v>53</v>
      </c>
      <c r="G162" s="2" t="str">
        <f t="shared" si="4"/>
        <v>Pass</v>
      </c>
      <c r="H162" s="2" t="str" cm="1">
        <f t="array" ref="H162">_xlfn.IFS(F162&gt;=85,"Distinction",F162&gt;=60,"Pass",F162&lt;60,"Fail" )</f>
        <v>Fail</v>
      </c>
      <c r="I162" s="2" t="str">
        <f t="shared" si="5"/>
        <v>Needs Intervention</v>
      </c>
    </row>
    <row r="163" spans="1:9" x14ac:dyDescent="0.3">
      <c r="A163" s="2" t="s">
        <v>310</v>
      </c>
      <c r="B163" s="2" t="s">
        <v>311</v>
      </c>
      <c r="C163" s="2" t="s">
        <v>17</v>
      </c>
      <c r="D163" s="2">
        <v>58</v>
      </c>
      <c r="E163" s="2">
        <v>55</v>
      </c>
      <c r="F163" s="2">
        <v>78</v>
      </c>
      <c r="G163" s="2" t="str">
        <f t="shared" si="4"/>
        <v>Pass</v>
      </c>
      <c r="H163" s="2" t="str" cm="1">
        <f t="array" ref="H163">_xlfn.IFS(F163&gt;=85,"Distinction",F163&gt;=60,"Pass",F163&lt;60,"Fail" )</f>
        <v>Pass</v>
      </c>
      <c r="I163" s="2" t="str">
        <f t="shared" si="5"/>
        <v>Needs Intervention</v>
      </c>
    </row>
    <row r="164" spans="1:9" x14ac:dyDescent="0.3">
      <c r="A164" s="2" t="s">
        <v>312</v>
      </c>
      <c r="B164" s="2" t="s">
        <v>313</v>
      </c>
      <c r="C164" s="2" t="s">
        <v>17</v>
      </c>
      <c r="D164" s="2">
        <v>64</v>
      </c>
      <c r="E164" s="2">
        <v>63</v>
      </c>
      <c r="F164" s="2">
        <v>98</v>
      </c>
      <c r="G164" s="2" t="str">
        <f t="shared" si="4"/>
        <v>Pass</v>
      </c>
      <c r="H164" s="2" t="str" cm="1">
        <f t="array" ref="H164">_xlfn.IFS(F164&gt;=85,"Distinction",F164&gt;=60,"Pass",F164&lt;60,"Fail" )</f>
        <v>Distinction</v>
      </c>
      <c r="I164" s="2" t="str">
        <f t="shared" si="5"/>
        <v>Needs Intervention</v>
      </c>
    </row>
    <row r="165" spans="1:9" x14ac:dyDescent="0.3">
      <c r="A165" s="2" t="s">
        <v>314</v>
      </c>
      <c r="B165" s="2" t="s">
        <v>315</v>
      </c>
      <c r="C165" s="2" t="s">
        <v>26</v>
      </c>
      <c r="D165" s="2">
        <v>64</v>
      </c>
      <c r="E165" s="2">
        <v>36</v>
      </c>
      <c r="F165" s="2">
        <v>91</v>
      </c>
      <c r="G165" s="2" t="str">
        <f t="shared" si="4"/>
        <v>Pass</v>
      </c>
      <c r="H165" s="2" t="str" cm="1">
        <f t="array" ref="H165">_xlfn.IFS(F165&gt;=85,"Distinction",F165&gt;=60,"Pass",F165&lt;60,"Fail" )</f>
        <v>Distinction</v>
      </c>
      <c r="I165" s="2" t="str">
        <f t="shared" si="5"/>
        <v>Needs Intervention</v>
      </c>
    </row>
    <row r="166" spans="1:9" x14ac:dyDescent="0.3">
      <c r="A166" s="2" t="s">
        <v>332</v>
      </c>
      <c r="B166" s="2" t="s">
        <v>333</v>
      </c>
      <c r="C166" s="2" t="s">
        <v>17</v>
      </c>
      <c r="D166" s="2">
        <v>53</v>
      </c>
      <c r="E166" s="2">
        <v>93</v>
      </c>
      <c r="F166" s="2">
        <v>51</v>
      </c>
      <c r="G166" s="2" t="str">
        <f t="shared" si="4"/>
        <v>Pass</v>
      </c>
      <c r="H166" s="2" t="str" cm="1">
        <f t="array" ref="H166">_xlfn.IFS(F166&gt;=85,"Distinction",F166&gt;=60,"Pass",F166&lt;60,"Fail" )</f>
        <v>Fail</v>
      </c>
      <c r="I166" s="2" t="str">
        <f t="shared" si="5"/>
        <v>Needs Intervention</v>
      </c>
    </row>
    <row r="167" spans="1:9" x14ac:dyDescent="0.3">
      <c r="A167" s="2" t="s">
        <v>344</v>
      </c>
      <c r="B167" s="2" t="s">
        <v>345</v>
      </c>
      <c r="C167" s="2" t="s">
        <v>14</v>
      </c>
      <c r="D167" s="2">
        <v>64</v>
      </c>
      <c r="E167" s="2">
        <v>66</v>
      </c>
      <c r="F167" s="2">
        <v>59</v>
      </c>
      <c r="G167" s="2" t="str">
        <f t="shared" si="4"/>
        <v>Pass</v>
      </c>
      <c r="H167" s="2" t="str" cm="1">
        <f t="array" ref="H167">_xlfn.IFS(F167&gt;=85,"Distinction",F167&gt;=60,"Pass",F167&lt;60,"Fail" )</f>
        <v>Fail</v>
      </c>
      <c r="I167" s="2" t="str">
        <f t="shared" si="5"/>
        <v>Needs Intervention</v>
      </c>
    </row>
    <row r="168" spans="1:9" x14ac:dyDescent="0.3">
      <c r="A168" s="2" t="s">
        <v>352</v>
      </c>
      <c r="B168" s="2" t="s">
        <v>353</v>
      </c>
      <c r="C168" s="2" t="s">
        <v>14</v>
      </c>
      <c r="D168" s="2">
        <v>62</v>
      </c>
      <c r="E168" s="2">
        <v>52</v>
      </c>
      <c r="F168" s="2">
        <v>55</v>
      </c>
      <c r="G168" s="2" t="str">
        <f t="shared" si="4"/>
        <v>Pass</v>
      </c>
      <c r="H168" s="2" t="str" cm="1">
        <f t="array" ref="H168">_xlfn.IFS(F168&gt;=85,"Distinction",F168&gt;=60,"Pass",F168&lt;60,"Fail" )</f>
        <v>Fail</v>
      </c>
      <c r="I168" s="2" t="str">
        <f t="shared" si="5"/>
        <v>Needs Intervention</v>
      </c>
    </row>
    <row r="169" spans="1:9" x14ac:dyDescent="0.3">
      <c r="A169" s="2" t="s">
        <v>364</v>
      </c>
      <c r="B169" s="2" t="s">
        <v>365</v>
      </c>
      <c r="C169" s="2" t="s">
        <v>14</v>
      </c>
      <c r="D169" s="2">
        <v>51</v>
      </c>
      <c r="E169" s="2">
        <v>48</v>
      </c>
      <c r="F169" s="2">
        <v>68</v>
      </c>
      <c r="G169" s="2" t="str">
        <f t="shared" si="4"/>
        <v>Pass</v>
      </c>
      <c r="H169" s="2" t="str" cm="1">
        <f t="array" ref="H169">_xlfn.IFS(F169&gt;=85,"Distinction",F169&gt;=60,"Pass",F169&lt;60,"Fail" )</f>
        <v>Pass</v>
      </c>
      <c r="I169" s="2" t="str">
        <f t="shared" si="5"/>
        <v>Needs Intervention</v>
      </c>
    </row>
    <row r="170" spans="1:9" x14ac:dyDescent="0.3">
      <c r="A170" s="2" t="s">
        <v>370</v>
      </c>
      <c r="B170" s="2" t="s">
        <v>371</v>
      </c>
      <c r="C170" s="2" t="s">
        <v>31</v>
      </c>
      <c r="D170" s="2">
        <v>55</v>
      </c>
      <c r="E170" s="2">
        <v>90</v>
      </c>
      <c r="F170" s="2">
        <v>80</v>
      </c>
      <c r="G170" s="2" t="str">
        <f t="shared" si="4"/>
        <v>Pass</v>
      </c>
      <c r="H170" s="2" t="str" cm="1">
        <f t="array" ref="H170">_xlfn.IFS(F170&gt;=85,"Distinction",F170&gt;=60,"Pass",F170&lt;60,"Fail" )</f>
        <v>Pass</v>
      </c>
      <c r="I170" s="2" t="str">
        <f t="shared" si="5"/>
        <v>Needs Intervention</v>
      </c>
    </row>
    <row r="171" spans="1:9" x14ac:dyDescent="0.3">
      <c r="A171" s="2" t="s">
        <v>380</v>
      </c>
      <c r="B171" s="2" t="s">
        <v>381</v>
      </c>
      <c r="C171" s="2" t="s">
        <v>14</v>
      </c>
      <c r="D171" s="2">
        <v>69</v>
      </c>
      <c r="E171" s="2">
        <v>81</v>
      </c>
      <c r="F171" s="2">
        <v>54</v>
      </c>
      <c r="G171" s="2" t="str">
        <f t="shared" si="4"/>
        <v>Pass</v>
      </c>
      <c r="H171" s="2" t="str" cm="1">
        <f t="array" ref="H171">_xlfn.IFS(F171&gt;=85,"Distinction",F171&gt;=60,"Pass",F171&lt;60,"Fail" )</f>
        <v>Fail</v>
      </c>
      <c r="I171" s="2" t="str">
        <f t="shared" si="5"/>
        <v>Needs Intervention</v>
      </c>
    </row>
    <row r="172" spans="1:9" x14ac:dyDescent="0.3">
      <c r="A172" s="2" t="s">
        <v>384</v>
      </c>
      <c r="B172" s="2" t="s">
        <v>385</v>
      </c>
      <c r="C172" s="2" t="s">
        <v>17</v>
      </c>
      <c r="D172" s="2">
        <v>60</v>
      </c>
      <c r="E172" s="2">
        <v>98</v>
      </c>
      <c r="F172" s="2">
        <v>95</v>
      </c>
      <c r="G172" s="2" t="str">
        <f t="shared" si="4"/>
        <v>Pass</v>
      </c>
      <c r="H172" s="2" t="str" cm="1">
        <f t="array" ref="H172">_xlfn.IFS(F172&gt;=85,"Distinction",F172&gt;=60,"Pass",F172&lt;60,"Fail" )</f>
        <v>Distinction</v>
      </c>
      <c r="I172" s="2" t="str">
        <f t="shared" si="5"/>
        <v>Needs Intervention</v>
      </c>
    </row>
    <row r="173" spans="1:9" x14ac:dyDescent="0.3">
      <c r="A173" s="2" t="s">
        <v>388</v>
      </c>
      <c r="B173" s="2" t="s">
        <v>389</v>
      </c>
      <c r="C173" s="2" t="s">
        <v>17</v>
      </c>
      <c r="D173" s="2">
        <v>74</v>
      </c>
      <c r="E173" s="2">
        <v>54</v>
      </c>
      <c r="F173" s="2">
        <v>80</v>
      </c>
      <c r="G173" s="2" t="str">
        <f t="shared" si="4"/>
        <v>Pass</v>
      </c>
      <c r="H173" s="2" t="str" cm="1">
        <f t="array" ref="H173">_xlfn.IFS(F173&gt;=85,"Distinction",F173&gt;=60,"Pass",F173&lt;60,"Fail" )</f>
        <v>Pass</v>
      </c>
      <c r="I173" s="2" t="str">
        <f t="shared" si="5"/>
        <v>Needs Intervention</v>
      </c>
    </row>
    <row r="174" spans="1:9" x14ac:dyDescent="0.3">
      <c r="A174" s="2" t="s">
        <v>394</v>
      </c>
      <c r="B174" s="2" t="s">
        <v>395</v>
      </c>
      <c r="C174" s="2" t="s">
        <v>31</v>
      </c>
      <c r="D174" s="2">
        <v>50</v>
      </c>
      <c r="E174" s="2">
        <v>52</v>
      </c>
      <c r="F174" s="2">
        <v>99</v>
      </c>
      <c r="G174" s="2" t="str">
        <f t="shared" si="4"/>
        <v>Pass</v>
      </c>
      <c r="H174" s="2" t="str" cm="1">
        <f t="array" ref="H174">_xlfn.IFS(F174&gt;=85,"Distinction",F174&gt;=60,"Pass",F174&lt;60,"Fail" )</f>
        <v>Distinction</v>
      </c>
      <c r="I174" s="2" t="str">
        <f t="shared" si="5"/>
        <v>Needs Intervention</v>
      </c>
    </row>
    <row r="175" spans="1:9" x14ac:dyDescent="0.3">
      <c r="A175" s="2" t="s">
        <v>398</v>
      </c>
      <c r="B175" s="2" t="s">
        <v>399</v>
      </c>
      <c r="C175" s="2" t="s">
        <v>17</v>
      </c>
      <c r="D175" s="2">
        <v>62</v>
      </c>
      <c r="E175" s="2">
        <v>86</v>
      </c>
      <c r="F175" s="2">
        <v>96</v>
      </c>
      <c r="G175" s="2" t="str">
        <f t="shared" si="4"/>
        <v>Pass</v>
      </c>
      <c r="H175" s="2" t="str" cm="1">
        <f t="array" ref="H175">_xlfn.IFS(F175&gt;=85,"Distinction",F175&gt;=60,"Pass",F175&lt;60,"Fail" )</f>
        <v>Distinction</v>
      </c>
      <c r="I175" s="2" t="str">
        <f t="shared" si="5"/>
        <v>Needs Intervention</v>
      </c>
    </row>
    <row r="176" spans="1:9" x14ac:dyDescent="0.3">
      <c r="A176" s="2" t="s">
        <v>402</v>
      </c>
      <c r="B176" s="2" t="s">
        <v>403</v>
      </c>
      <c r="C176" s="2" t="s">
        <v>31</v>
      </c>
      <c r="D176" s="2">
        <v>52</v>
      </c>
      <c r="E176" s="2">
        <v>82</v>
      </c>
      <c r="F176" s="2">
        <v>80</v>
      </c>
      <c r="G176" s="2" t="str">
        <f t="shared" si="4"/>
        <v>Pass</v>
      </c>
      <c r="H176" s="2" t="str" cm="1">
        <f t="array" ref="H176">_xlfn.IFS(F176&gt;=85,"Distinction",F176&gt;=60,"Pass",F176&lt;60,"Fail" )</f>
        <v>Pass</v>
      </c>
      <c r="I176" s="2" t="str">
        <f t="shared" si="5"/>
        <v>Needs Intervention</v>
      </c>
    </row>
    <row r="177" spans="1:9" x14ac:dyDescent="0.3">
      <c r="A177" s="2" t="s">
        <v>406</v>
      </c>
      <c r="B177" s="2" t="s">
        <v>407</v>
      </c>
      <c r="C177" s="2" t="s">
        <v>31</v>
      </c>
      <c r="D177" s="2">
        <v>55</v>
      </c>
      <c r="E177" s="2">
        <v>87</v>
      </c>
      <c r="F177" s="2">
        <v>93</v>
      </c>
      <c r="G177" s="2" t="str">
        <f t="shared" si="4"/>
        <v>Pass</v>
      </c>
      <c r="H177" s="2" t="str" cm="1">
        <f t="array" ref="H177">_xlfn.IFS(F177&gt;=85,"Distinction",F177&gt;=60,"Pass",F177&lt;60,"Fail" )</f>
        <v>Distinction</v>
      </c>
      <c r="I177" s="2" t="str">
        <f t="shared" si="5"/>
        <v>Needs Intervention</v>
      </c>
    </row>
    <row r="178" spans="1:9" x14ac:dyDescent="0.3">
      <c r="A178" s="2" t="s">
        <v>412</v>
      </c>
      <c r="B178" s="2" t="s">
        <v>413</v>
      </c>
      <c r="C178" s="2" t="s">
        <v>26</v>
      </c>
      <c r="D178" s="2">
        <v>58</v>
      </c>
      <c r="E178" s="2">
        <v>34</v>
      </c>
      <c r="F178" s="2">
        <v>62</v>
      </c>
      <c r="G178" s="2" t="str">
        <f t="shared" si="4"/>
        <v>Pass</v>
      </c>
      <c r="H178" s="2" t="str" cm="1">
        <f t="array" ref="H178">_xlfn.IFS(F178&gt;=85,"Distinction",F178&gt;=60,"Pass",F178&lt;60,"Fail" )</f>
        <v>Pass</v>
      </c>
      <c r="I178" s="2" t="str">
        <f t="shared" si="5"/>
        <v>Needs Intervention</v>
      </c>
    </row>
    <row r="179" spans="1:9" x14ac:dyDescent="0.3">
      <c r="A179" s="2" t="s">
        <v>424</v>
      </c>
      <c r="B179" s="2" t="s">
        <v>425</v>
      </c>
      <c r="C179" s="2" t="s">
        <v>17</v>
      </c>
      <c r="D179" s="2">
        <v>73</v>
      </c>
      <c r="E179" s="2">
        <v>36</v>
      </c>
      <c r="F179" s="2">
        <v>56</v>
      </c>
      <c r="G179" s="2" t="str">
        <f t="shared" si="4"/>
        <v>Pass</v>
      </c>
      <c r="H179" s="2" t="str" cm="1">
        <f t="array" ref="H179">_xlfn.IFS(F179&gt;=85,"Distinction",F179&gt;=60,"Pass",F179&lt;60,"Fail" )</f>
        <v>Fail</v>
      </c>
      <c r="I179" s="2" t="str">
        <f t="shared" si="5"/>
        <v>Needs Intervention</v>
      </c>
    </row>
    <row r="180" spans="1:9" x14ac:dyDescent="0.3">
      <c r="A180" s="2" t="s">
        <v>426</v>
      </c>
      <c r="B180" s="2" t="s">
        <v>427</v>
      </c>
      <c r="C180" s="2" t="s">
        <v>31</v>
      </c>
      <c r="D180" s="2">
        <v>64</v>
      </c>
      <c r="E180" s="2">
        <v>75</v>
      </c>
      <c r="F180" s="2">
        <v>84</v>
      </c>
      <c r="G180" s="2" t="str">
        <f t="shared" si="4"/>
        <v>Pass</v>
      </c>
      <c r="H180" s="2" t="str" cm="1">
        <f t="array" ref="H180">_xlfn.IFS(F180&gt;=85,"Distinction",F180&gt;=60,"Pass",F180&lt;60,"Fail" )</f>
        <v>Pass</v>
      </c>
      <c r="I180" s="2" t="str">
        <f t="shared" si="5"/>
        <v>Needs Intervention</v>
      </c>
    </row>
    <row r="181" spans="1:9" x14ac:dyDescent="0.3">
      <c r="A181" s="2" t="s">
        <v>432</v>
      </c>
      <c r="B181" s="2" t="s">
        <v>433</v>
      </c>
      <c r="C181" s="2" t="s">
        <v>26</v>
      </c>
      <c r="D181" s="2">
        <v>73</v>
      </c>
      <c r="E181" s="2">
        <v>71</v>
      </c>
      <c r="F181" s="2">
        <v>95</v>
      </c>
      <c r="G181" s="2" t="str">
        <f t="shared" si="4"/>
        <v>Pass</v>
      </c>
      <c r="H181" s="2" t="str" cm="1">
        <f t="array" ref="H181">_xlfn.IFS(F181&gt;=85,"Distinction",F181&gt;=60,"Pass",F181&lt;60,"Fail" )</f>
        <v>Distinction</v>
      </c>
      <c r="I181" s="2" t="str">
        <f t="shared" si="5"/>
        <v>Needs Intervention</v>
      </c>
    </row>
    <row r="182" spans="1:9" x14ac:dyDescent="0.3">
      <c r="A182" s="2" t="s">
        <v>444</v>
      </c>
      <c r="B182" s="2" t="s">
        <v>445</v>
      </c>
      <c r="C182" s="2" t="s">
        <v>26</v>
      </c>
      <c r="D182" s="2">
        <v>51</v>
      </c>
      <c r="E182" s="2">
        <v>58</v>
      </c>
      <c r="F182" s="2">
        <v>76</v>
      </c>
      <c r="G182" s="2" t="str">
        <f t="shared" si="4"/>
        <v>Pass</v>
      </c>
      <c r="H182" s="2" t="str" cm="1">
        <f t="array" ref="H182">_xlfn.IFS(F182&gt;=85,"Distinction",F182&gt;=60,"Pass",F182&lt;60,"Fail" )</f>
        <v>Pass</v>
      </c>
      <c r="I182" s="2" t="str">
        <f t="shared" si="5"/>
        <v>Needs Intervention</v>
      </c>
    </row>
    <row r="183" spans="1:9" x14ac:dyDescent="0.3">
      <c r="A183" s="2" t="s">
        <v>446</v>
      </c>
      <c r="B183" s="2" t="s">
        <v>447</v>
      </c>
      <c r="C183" s="2" t="s">
        <v>31</v>
      </c>
      <c r="D183" s="2">
        <v>52</v>
      </c>
      <c r="E183" s="2">
        <v>66</v>
      </c>
      <c r="F183" s="2">
        <v>81</v>
      </c>
      <c r="G183" s="2" t="str">
        <f t="shared" si="4"/>
        <v>Pass</v>
      </c>
      <c r="H183" s="2" t="str" cm="1">
        <f t="array" ref="H183">_xlfn.IFS(F183&gt;=85,"Distinction",F183&gt;=60,"Pass",F183&lt;60,"Fail" )</f>
        <v>Pass</v>
      </c>
      <c r="I183" s="2" t="str">
        <f t="shared" si="5"/>
        <v>Needs Intervention</v>
      </c>
    </row>
    <row r="184" spans="1:9" x14ac:dyDescent="0.3">
      <c r="A184" s="2" t="s">
        <v>458</v>
      </c>
      <c r="B184" s="2" t="s">
        <v>459</v>
      </c>
      <c r="C184" s="2" t="s">
        <v>31</v>
      </c>
      <c r="D184" s="2">
        <v>51</v>
      </c>
      <c r="E184" s="2">
        <v>74</v>
      </c>
      <c r="F184" s="2">
        <v>58</v>
      </c>
      <c r="G184" s="2" t="str">
        <f t="shared" si="4"/>
        <v>Pass</v>
      </c>
      <c r="H184" s="2" t="str" cm="1">
        <f t="array" ref="H184">_xlfn.IFS(F184&gt;=85,"Distinction",F184&gt;=60,"Pass",F184&lt;60,"Fail" )</f>
        <v>Fail</v>
      </c>
      <c r="I184" s="2" t="str">
        <f t="shared" si="5"/>
        <v>Needs Intervention</v>
      </c>
    </row>
    <row r="185" spans="1:9" x14ac:dyDescent="0.3">
      <c r="A185" s="2" t="s">
        <v>460</v>
      </c>
      <c r="B185" s="2" t="s">
        <v>461</v>
      </c>
      <c r="C185" s="2" t="s">
        <v>11</v>
      </c>
      <c r="D185" s="2">
        <v>51</v>
      </c>
      <c r="E185" s="2">
        <v>33</v>
      </c>
      <c r="F185" s="2">
        <v>76</v>
      </c>
      <c r="G185" s="2" t="str">
        <f t="shared" si="4"/>
        <v>Pass</v>
      </c>
      <c r="H185" s="2" t="str" cm="1">
        <f t="array" ref="H185">_xlfn.IFS(F185&gt;=85,"Distinction",F185&gt;=60,"Pass",F185&lt;60,"Fail" )</f>
        <v>Pass</v>
      </c>
      <c r="I185" s="2" t="str">
        <f t="shared" si="5"/>
        <v>Needs Intervention</v>
      </c>
    </row>
    <row r="186" spans="1:9" x14ac:dyDescent="0.3">
      <c r="A186" s="2" t="s">
        <v>464</v>
      </c>
      <c r="B186" s="2" t="s">
        <v>465</v>
      </c>
      <c r="C186" s="2" t="s">
        <v>31</v>
      </c>
      <c r="D186" s="2">
        <v>72</v>
      </c>
      <c r="E186" s="2">
        <v>99</v>
      </c>
      <c r="F186" s="2">
        <v>74</v>
      </c>
      <c r="G186" s="2" t="str">
        <f t="shared" si="4"/>
        <v>Pass</v>
      </c>
      <c r="H186" s="2" t="str" cm="1">
        <f t="array" ref="H186">_xlfn.IFS(F186&gt;=85,"Distinction",F186&gt;=60,"Pass",F186&lt;60,"Fail" )</f>
        <v>Pass</v>
      </c>
      <c r="I186" s="2" t="str">
        <f t="shared" si="5"/>
        <v>Needs Intervention</v>
      </c>
    </row>
    <row r="187" spans="1:9" x14ac:dyDescent="0.3">
      <c r="A187" s="2" t="s">
        <v>472</v>
      </c>
      <c r="B187" s="2" t="s">
        <v>473</v>
      </c>
      <c r="C187" s="2" t="s">
        <v>26</v>
      </c>
      <c r="D187" s="2">
        <v>50</v>
      </c>
      <c r="E187" s="2">
        <v>83</v>
      </c>
      <c r="F187" s="2">
        <v>65</v>
      </c>
      <c r="G187" s="2" t="str">
        <f t="shared" si="4"/>
        <v>Pass</v>
      </c>
      <c r="H187" s="2" t="str" cm="1">
        <f t="array" ref="H187">_xlfn.IFS(F187&gt;=85,"Distinction",F187&gt;=60,"Pass",F187&lt;60,"Fail" )</f>
        <v>Pass</v>
      </c>
      <c r="I187" s="2" t="str">
        <f t="shared" si="5"/>
        <v>Needs Intervention</v>
      </c>
    </row>
    <row r="188" spans="1:9" x14ac:dyDescent="0.3">
      <c r="A188" s="2" t="s">
        <v>474</v>
      </c>
      <c r="B188" s="2" t="s">
        <v>475</v>
      </c>
      <c r="C188" s="2" t="s">
        <v>14</v>
      </c>
      <c r="D188" s="2">
        <v>68</v>
      </c>
      <c r="E188" s="2">
        <v>68</v>
      </c>
      <c r="F188" s="2">
        <v>55</v>
      </c>
      <c r="G188" s="2" t="str">
        <f t="shared" si="4"/>
        <v>Pass</v>
      </c>
      <c r="H188" s="2" t="str" cm="1">
        <f t="array" ref="H188">_xlfn.IFS(F188&gt;=85,"Distinction",F188&gt;=60,"Pass",F188&lt;60,"Fail" )</f>
        <v>Fail</v>
      </c>
      <c r="I188" s="2" t="str">
        <f t="shared" si="5"/>
        <v>Needs Intervention</v>
      </c>
    </row>
    <row r="189" spans="1:9" x14ac:dyDescent="0.3">
      <c r="A189" s="2" t="s">
        <v>476</v>
      </c>
      <c r="B189" s="2" t="s">
        <v>477</v>
      </c>
      <c r="C189" s="2" t="s">
        <v>14</v>
      </c>
      <c r="D189" s="2">
        <v>51</v>
      </c>
      <c r="E189" s="2">
        <v>48</v>
      </c>
      <c r="F189" s="2">
        <v>72</v>
      </c>
      <c r="G189" s="2" t="str">
        <f t="shared" si="4"/>
        <v>Pass</v>
      </c>
      <c r="H189" s="2" t="str" cm="1">
        <f t="array" ref="H189">_xlfn.IFS(F189&gt;=85,"Distinction",F189&gt;=60,"Pass",F189&lt;60,"Fail" )</f>
        <v>Pass</v>
      </c>
      <c r="I189" s="2" t="str">
        <f t="shared" si="5"/>
        <v>Needs Intervention</v>
      </c>
    </row>
    <row r="190" spans="1:9" x14ac:dyDescent="0.3">
      <c r="A190" s="2" t="s">
        <v>490</v>
      </c>
      <c r="B190" s="2" t="s">
        <v>491</v>
      </c>
      <c r="C190" s="2" t="s">
        <v>31</v>
      </c>
      <c r="D190" s="2">
        <v>60</v>
      </c>
      <c r="E190" s="2">
        <v>90</v>
      </c>
      <c r="F190" s="2">
        <v>52</v>
      </c>
      <c r="G190" s="2" t="str">
        <f t="shared" si="4"/>
        <v>Pass</v>
      </c>
      <c r="H190" s="2" t="str" cm="1">
        <f t="array" ref="H190">_xlfn.IFS(F190&gt;=85,"Distinction",F190&gt;=60,"Pass",F190&lt;60,"Fail" )</f>
        <v>Fail</v>
      </c>
      <c r="I190" s="2" t="str">
        <f t="shared" si="5"/>
        <v>Needs Intervention</v>
      </c>
    </row>
    <row r="191" spans="1:9" x14ac:dyDescent="0.3">
      <c r="A191" s="2" t="s">
        <v>492</v>
      </c>
      <c r="B191" s="2" t="s">
        <v>493</v>
      </c>
      <c r="C191" s="2" t="s">
        <v>11</v>
      </c>
      <c r="D191" s="2">
        <v>66</v>
      </c>
      <c r="E191" s="2">
        <v>68</v>
      </c>
      <c r="F191" s="2">
        <v>76</v>
      </c>
      <c r="G191" s="2" t="str">
        <f t="shared" si="4"/>
        <v>Pass</v>
      </c>
      <c r="H191" s="2" t="str" cm="1">
        <f t="array" ref="H191">_xlfn.IFS(F191&gt;=85,"Distinction",F191&gt;=60,"Pass",F191&lt;60,"Fail" )</f>
        <v>Pass</v>
      </c>
      <c r="I191" s="2" t="str">
        <f t="shared" si="5"/>
        <v>Needs Intervention</v>
      </c>
    </row>
    <row r="192" spans="1:9" x14ac:dyDescent="0.3">
      <c r="A192" s="2" t="s">
        <v>502</v>
      </c>
      <c r="B192" s="2" t="s">
        <v>503</v>
      </c>
      <c r="C192" s="2" t="s">
        <v>17</v>
      </c>
      <c r="D192" s="2">
        <v>55</v>
      </c>
      <c r="E192" s="2">
        <v>54</v>
      </c>
      <c r="F192" s="2">
        <v>89</v>
      </c>
      <c r="G192" s="2" t="str">
        <f t="shared" si="4"/>
        <v>Pass</v>
      </c>
      <c r="H192" s="2" t="str" cm="1">
        <f t="array" ref="H192">_xlfn.IFS(F192&gt;=85,"Distinction",F192&gt;=60,"Pass",F192&lt;60,"Fail" )</f>
        <v>Distinction</v>
      </c>
      <c r="I192" s="2" t="str">
        <f t="shared" si="5"/>
        <v>Needs Intervention</v>
      </c>
    </row>
    <row r="193" spans="1:9" x14ac:dyDescent="0.3">
      <c r="A193" s="2" t="s">
        <v>504</v>
      </c>
      <c r="B193" s="2" t="s">
        <v>505</v>
      </c>
      <c r="C193" s="2" t="s">
        <v>11</v>
      </c>
      <c r="D193" s="2">
        <v>71</v>
      </c>
      <c r="E193" s="2">
        <v>85</v>
      </c>
      <c r="F193" s="2">
        <v>72</v>
      </c>
      <c r="G193" s="2" t="str">
        <f t="shared" si="4"/>
        <v>Pass</v>
      </c>
      <c r="H193" s="2" t="str" cm="1">
        <f t="array" ref="H193">_xlfn.IFS(F193&gt;=85,"Distinction",F193&gt;=60,"Pass",F193&lt;60,"Fail" )</f>
        <v>Pass</v>
      </c>
      <c r="I193" s="2" t="str">
        <f t="shared" si="5"/>
        <v>Needs Intervention</v>
      </c>
    </row>
    <row r="194" spans="1:9" x14ac:dyDescent="0.3">
      <c r="A194" s="2" t="s">
        <v>506</v>
      </c>
      <c r="B194" s="2" t="s">
        <v>507</v>
      </c>
      <c r="C194" s="2" t="s">
        <v>17</v>
      </c>
      <c r="D194" s="2">
        <v>60</v>
      </c>
      <c r="E194" s="2">
        <v>62</v>
      </c>
      <c r="F194" s="2">
        <v>97</v>
      </c>
      <c r="G194" s="2" t="str">
        <f t="shared" ref="G194:G257" si="6">IF($F194&gt;=50,"Pass","Fail")</f>
        <v>Pass</v>
      </c>
      <c r="H194" s="2" t="str" cm="1">
        <f t="array" ref="H194">_xlfn.IFS(F194&gt;=85,"Distinction",F194&gt;=60,"Pass",F194&lt;60,"Fail" )</f>
        <v>Distinction</v>
      </c>
      <c r="I194" s="2" t="str">
        <f t="shared" ref="I194:I257" si="7">IF(OR(D194&lt;75,F194&lt;50),"Needs Intervention","OK")</f>
        <v>Needs Intervention</v>
      </c>
    </row>
    <row r="195" spans="1:9" x14ac:dyDescent="0.3">
      <c r="A195" s="2" t="s">
        <v>510</v>
      </c>
      <c r="B195" s="2" t="s">
        <v>511</v>
      </c>
      <c r="C195" s="2" t="s">
        <v>11</v>
      </c>
      <c r="D195" s="2">
        <v>65</v>
      </c>
      <c r="E195" s="2">
        <v>35</v>
      </c>
      <c r="F195" s="2">
        <v>66</v>
      </c>
      <c r="G195" s="2" t="str">
        <f t="shared" si="6"/>
        <v>Pass</v>
      </c>
      <c r="H195" s="2" t="str" cm="1">
        <f t="array" ref="H195">_xlfn.IFS(F195&gt;=85,"Distinction",F195&gt;=60,"Pass",F195&lt;60,"Fail" )</f>
        <v>Pass</v>
      </c>
      <c r="I195" s="2" t="str">
        <f t="shared" si="7"/>
        <v>Needs Intervention</v>
      </c>
    </row>
    <row r="196" spans="1:9" x14ac:dyDescent="0.3">
      <c r="A196" s="2" t="s">
        <v>516</v>
      </c>
      <c r="B196" s="2" t="s">
        <v>517</v>
      </c>
      <c r="C196" s="2" t="s">
        <v>11</v>
      </c>
      <c r="D196" s="2">
        <v>55</v>
      </c>
      <c r="E196" s="2">
        <v>74</v>
      </c>
      <c r="F196" s="2">
        <v>80</v>
      </c>
      <c r="G196" s="2" t="str">
        <f t="shared" si="6"/>
        <v>Pass</v>
      </c>
      <c r="H196" s="2" t="str" cm="1">
        <f t="array" ref="H196">_xlfn.IFS(F196&gt;=85,"Distinction",F196&gt;=60,"Pass",F196&lt;60,"Fail" )</f>
        <v>Pass</v>
      </c>
      <c r="I196" s="2" t="str">
        <f t="shared" si="7"/>
        <v>Needs Intervention</v>
      </c>
    </row>
    <row r="197" spans="1:9" x14ac:dyDescent="0.3">
      <c r="A197" s="2" t="s">
        <v>518</v>
      </c>
      <c r="B197" s="2" t="s">
        <v>519</v>
      </c>
      <c r="C197" s="2" t="s">
        <v>14</v>
      </c>
      <c r="D197" s="2">
        <v>65</v>
      </c>
      <c r="E197" s="2">
        <v>61</v>
      </c>
      <c r="F197" s="2">
        <v>58</v>
      </c>
      <c r="G197" s="2" t="str">
        <f t="shared" si="6"/>
        <v>Pass</v>
      </c>
      <c r="H197" s="2" t="str" cm="1">
        <f t="array" ref="H197">_xlfn.IFS(F197&gt;=85,"Distinction",F197&gt;=60,"Pass",F197&lt;60,"Fail" )</f>
        <v>Fail</v>
      </c>
      <c r="I197" s="2" t="str">
        <f t="shared" si="7"/>
        <v>Needs Intervention</v>
      </c>
    </row>
    <row r="198" spans="1:9" x14ac:dyDescent="0.3">
      <c r="A198" s="2" t="s">
        <v>522</v>
      </c>
      <c r="B198" s="2" t="s">
        <v>523</v>
      </c>
      <c r="C198" s="2" t="s">
        <v>26</v>
      </c>
      <c r="D198" s="2">
        <v>52</v>
      </c>
      <c r="E198" s="2">
        <v>90</v>
      </c>
      <c r="F198" s="2">
        <v>70</v>
      </c>
      <c r="G198" s="2" t="str">
        <f t="shared" si="6"/>
        <v>Pass</v>
      </c>
      <c r="H198" s="2" t="str" cm="1">
        <f t="array" ref="H198">_xlfn.IFS(F198&gt;=85,"Distinction",F198&gt;=60,"Pass",F198&lt;60,"Fail" )</f>
        <v>Pass</v>
      </c>
      <c r="I198" s="2" t="str">
        <f t="shared" si="7"/>
        <v>Needs Intervention</v>
      </c>
    </row>
    <row r="199" spans="1:9" x14ac:dyDescent="0.3">
      <c r="A199" s="2" t="s">
        <v>532</v>
      </c>
      <c r="B199" s="2" t="s">
        <v>533</v>
      </c>
      <c r="C199" s="2" t="s">
        <v>26</v>
      </c>
      <c r="D199" s="2">
        <v>52</v>
      </c>
      <c r="E199" s="2">
        <v>49</v>
      </c>
      <c r="F199" s="2">
        <v>50</v>
      </c>
      <c r="G199" s="2" t="str">
        <f t="shared" si="6"/>
        <v>Pass</v>
      </c>
      <c r="H199" s="2" t="str" cm="1">
        <f t="array" ref="H199">_xlfn.IFS(F199&gt;=85,"Distinction",F199&gt;=60,"Pass",F199&lt;60,"Fail" )</f>
        <v>Fail</v>
      </c>
      <c r="I199" s="2" t="str">
        <f t="shared" si="7"/>
        <v>Needs Intervention</v>
      </c>
    </row>
    <row r="200" spans="1:9" x14ac:dyDescent="0.3">
      <c r="A200" s="2" t="s">
        <v>534</v>
      </c>
      <c r="B200" s="2" t="s">
        <v>535</v>
      </c>
      <c r="C200" s="2" t="s">
        <v>26</v>
      </c>
      <c r="D200" s="2">
        <v>68</v>
      </c>
      <c r="E200" s="2">
        <v>86</v>
      </c>
      <c r="F200" s="2">
        <v>65</v>
      </c>
      <c r="G200" s="2" t="str">
        <f t="shared" si="6"/>
        <v>Pass</v>
      </c>
      <c r="H200" s="2" t="str" cm="1">
        <f t="array" ref="H200">_xlfn.IFS(F200&gt;=85,"Distinction",F200&gt;=60,"Pass",F200&lt;60,"Fail" )</f>
        <v>Pass</v>
      </c>
      <c r="I200" s="2" t="str">
        <f t="shared" si="7"/>
        <v>Needs Intervention</v>
      </c>
    </row>
    <row r="201" spans="1:9" x14ac:dyDescent="0.3">
      <c r="A201" s="2" t="s">
        <v>536</v>
      </c>
      <c r="B201" s="2" t="s">
        <v>537</v>
      </c>
      <c r="C201" s="2" t="s">
        <v>26</v>
      </c>
      <c r="D201" s="2">
        <v>69</v>
      </c>
      <c r="E201" s="2">
        <v>47</v>
      </c>
      <c r="F201" s="2">
        <v>83</v>
      </c>
      <c r="G201" s="2" t="str">
        <f t="shared" si="6"/>
        <v>Pass</v>
      </c>
      <c r="H201" s="2" t="str" cm="1">
        <f t="array" ref="H201">_xlfn.IFS(F201&gt;=85,"Distinction",F201&gt;=60,"Pass",F201&lt;60,"Fail" )</f>
        <v>Pass</v>
      </c>
      <c r="I201" s="2" t="str">
        <f t="shared" si="7"/>
        <v>Needs Intervention</v>
      </c>
    </row>
    <row r="202" spans="1:9" x14ac:dyDescent="0.3">
      <c r="A202" s="2" t="s">
        <v>554</v>
      </c>
      <c r="B202" s="2" t="s">
        <v>555</v>
      </c>
      <c r="C202" s="2" t="s">
        <v>26</v>
      </c>
      <c r="D202" s="2">
        <v>50</v>
      </c>
      <c r="E202" s="2">
        <v>45</v>
      </c>
      <c r="F202" s="2">
        <v>76</v>
      </c>
      <c r="G202" s="2" t="str">
        <f t="shared" si="6"/>
        <v>Pass</v>
      </c>
      <c r="H202" s="2" t="str" cm="1">
        <f t="array" ref="H202">_xlfn.IFS(F202&gt;=85,"Distinction",F202&gt;=60,"Pass",F202&lt;60,"Fail" )</f>
        <v>Pass</v>
      </c>
      <c r="I202" s="2" t="str">
        <f t="shared" si="7"/>
        <v>Needs Intervention</v>
      </c>
    </row>
    <row r="203" spans="1:9" x14ac:dyDescent="0.3">
      <c r="A203" s="2" t="s">
        <v>556</v>
      </c>
      <c r="B203" s="2" t="s">
        <v>557</v>
      </c>
      <c r="C203" s="2" t="s">
        <v>17</v>
      </c>
      <c r="D203" s="2">
        <v>60</v>
      </c>
      <c r="E203" s="2">
        <v>86</v>
      </c>
      <c r="F203" s="2">
        <v>82</v>
      </c>
      <c r="G203" s="2" t="str">
        <f t="shared" si="6"/>
        <v>Pass</v>
      </c>
      <c r="H203" s="2" t="str" cm="1">
        <f t="array" ref="H203">_xlfn.IFS(F203&gt;=85,"Distinction",F203&gt;=60,"Pass",F203&lt;60,"Fail" )</f>
        <v>Pass</v>
      </c>
      <c r="I203" s="2" t="str">
        <f t="shared" si="7"/>
        <v>Needs Intervention</v>
      </c>
    </row>
    <row r="204" spans="1:9" x14ac:dyDescent="0.3">
      <c r="A204" s="2" t="s">
        <v>560</v>
      </c>
      <c r="B204" s="2" t="s">
        <v>561</v>
      </c>
      <c r="C204" s="2" t="s">
        <v>26</v>
      </c>
      <c r="D204" s="2">
        <v>74</v>
      </c>
      <c r="E204" s="2">
        <v>45</v>
      </c>
      <c r="F204" s="2">
        <v>81</v>
      </c>
      <c r="G204" s="2" t="str">
        <f t="shared" si="6"/>
        <v>Pass</v>
      </c>
      <c r="H204" s="2" t="str" cm="1">
        <f t="array" ref="H204">_xlfn.IFS(F204&gt;=85,"Distinction",F204&gt;=60,"Pass",F204&lt;60,"Fail" )</f>
        <v>Pass</v>
      </c>
      <c r="I204" s="2" t="str">
        <f t="shared" si="7"/>
        <v>Needs Intervention</v>
      </c>
    </row>
    <row r="205" spans="1:9" x14ac:dyDescent="0.3">
      <c r="A205" s="2" t="s">
        <v>564</v>
      </c>
      <c r="B205" s="2" t="s">
        <v>565</v>
      </c>
      <c r="C205" s="2" t="s">
        <v>14</v>
      </c>
      <c r="D205" s="2">
        <v>72</v>
      </c>
      <c r="E205" s="2">
        <v>57</v>
      </c>
      <c r="F205" s="2">
        <v>55</v>
      </c>
      <c r="G205" s="2" t="str">
        <f t="shared" si="6"/>
        <v>Pass</v>
      </c>
      <c r="H205" s="2" t="str" cm="1">
        <f t="array" ref="H205">_xlfn.IFS(F205&gt;=85,"Distinction",F205&gt;=60,"Pass",F205&lt;60,"Fail" )</f>
        <v>Fail</v>
      </c>
      <c r="I205" s="2" t="str">
        <f t="shared" si="7"/>
        <v>Needs Intervention</v>
      </c>
    </row>
    <row r="206" spans="1:9" x14ac:dyDescent="0.3">
      <c r="A206" s="2" t="s">
        <v>574</v>
      </c>
      <c r="B206" s="2" t="s">
        <v>575</v>
      </c>
      <c r="C206" s="2" t="s">
        <v>11</v>
      </c>
      <c r="D206" s="2">
        <v>56</v>
      </c>
      <c r="E206" s="2">
        <v>89</v>
      </c>
      <c r="F206" s="2">
        <v>67</v>
      </c>
      <c r="G206" s="2" t="str">
        <f t="shared" si="6"/>
        <v>Pass</v>
      </c>
      <c r="H206" s="2" t="str" cm="1">
        <f t="array" ref="H206">_xlfn.IFS(F206&gt;=85,"Distinction",F206&gt;=60,"Pass",F206&lt;60,"Fail" )</f>
        <v>Pass</v>
      </c>
      <c r="I206" s="2" t="str">
        <f t="shared" si="7"/>
        <v>Needs Intervention</v>
      </c>
    </row>
    <row r="207" spans="1:9" x14ac:dyDescent="0.3">
      <c r="A207" s="2" t="s">
        <v>584</v>
      </c>
      <c r="B207" s="2" t="s">
        <v>585</v>
      </c>
      <c r="C207" s="2" t="s">
        <v>26</v>
      </c>
      <c r="D207" s="2">
        <v>51</v>
      </c>
      <c r="E207" s="2">
        <v>56</v>
      </c>
      <c r="F207" s="2">
        <v>72</v>
      </c>
      <c r="G207" s="2" t="str">
        <f t="shared" si="6"/>
        <v>Pass</v>
      </c>
      <c r="H207" s="2" t="str" cm="1">
        <f t="array" ref="H207">_xlfn.IFS(F207&gt;=85,"Distinction",F207&gt;=60,"Pass",F207&lt;60,"Fail" )</f>
        <v>Pass</v>
      </c>
      <c r="I207" s="2" t="str">
        <f t="shared" si="7"/>
        <v>Needs Intervention</v>
      </c>
    </row>
    <row r="208" spans="1:9" x14ac:dyDescent="0.3">
      <c r="A208" s="2" t="s">
        <v>586</v>
      </c>
      <c r="B208" s="2" t="s">
        <v>587</v>
      </c>
      <c r="C208" s="2" t="s">
        <v>26</v>
      </c>
      <c r="D208" s="2">
        <v>50</v>
      </c>
      <c r="E208" s="2">
        <v>92</v>
      </c>
      <c r="F208" s="2">
        <v>88</v>
      </c>
      <c r="G208" s="2" t="str">
        <f t="shared" si="6"/>
        <v>Pass</v>
      </c>
      <c r="H208" s="2" t="str" cm="1">
        <f t="array" ref="H208">_xlfn.IFS(F208&gt;=85,"Distinction",F208&gt;=60,"Pass",F208&lt;60,"Fail" )</f>
        <v>Distinction</v>
      </c>
      <c r="I208" s="2" t="str">
        <f t="shared" si="7"/>
        <v>Needs Intervention</v>
      </c>
    </row>
    <row r="209" spans="1:9" x14ac:dyDescent="0.3">
      <c r="A209" s="2" t="s">
        <v>590</v>
      </c>
      <c r="B209" s="2" t="s">
        <v>591</v>
      </c>
      <c r="C209" s="2" t="s">
        <v>31</v>
      </c>
      <c r="D209" s="2">
        <v>61</v>
      </c>
      <c r="E209" s="2">
        <v>62</v>
      </c>
      <c r="F209" s="2">
        <v>83</v>
      </c>
      <c r="G209" s="2" t="str">
        <f t="shared" si="6"/>
        <v>Pass</v>
      </c>
      <c r="H209" s="2" t="str" cm="1">
        <f t="array" ref="H209">_xlfn.IFS(F209&gt;=85,"Distinction",F209&gt;=60,"Pass",F209&lt;60,"Fail" )</f>
        <v>Pass</v>
      </c>
      <c r="I209" s="2" t="str">
        <f t="shared" si="7"/>
        <v>Needs Intervention</v>
      </c>
    </row>
    <row r="210" spans="1:9" x14ac:dyDescent="0.3">
      <c r="A210" s="2" t="s">
        <v>592</v>
      </c>
      <c r="B210" s="2" t="s">
        <v>593</v>
      </c>
      <c r="C210" s="2" t="s">
        <v>17</v>
      </c>
      <c r="D210" s="2">
        <v>54</v>
      </c>
      <c r="E210" s="2">
        <v>58</v>
      </c>
      <c r="F210" s="2">
        <v>53</v>
      </c>
      <c r="G210" s="2" t="str">
        <f t="shared" si="6"/>
        <v>Pass</v>
      </c>
      <c r="H210" s="2" t="str" cm="1">
        <f t="array" ref="H210">_xlfn.IFS(F210&gt;=85,"Distinction",F210&gt;=60,"Pass",F210&lt;60,"Fail" )</f>
        <v>Fail</v>
      </c>
      <c r="I210" s="2" t="str">
        <f t="shared" si="7"/>
        <v>Needs Intervention</v>
      </c>
    </row>
    <row r="211" spans="1:9" x14ac:dyDescent="0.3">
      <c r="A211" s="2" t="s">
        <v>598</v>
      </c>
      <c r="B211" s="2" t="s">
        <v>599</v>
      </c>
      <c r="C211" s="2" t="s">
        <v>11</v>
      </c>
      <c r="D211" s="2">
        <v>58</v>
      </c>
      <c r="E211" s="2">
        <v>64</v>
      </c>
      <c r="F211" s="2">
        <v>81</v>
      </c>
      <c r="G211" s="2" t="str">
        <f t="shared" si="6"/>
        <v>Pass</v>
      </c>
      <c r="H211" s="2" t="str" cm="1">
        <f t="array" ref="H211">_xlfn.IFS(F211&gt;=85,"Distinction",F211&gt;=60,"Pass",F211&lt;60,"Fail" )</f>
        <v>Pass</v>
      </c>
      <c r="I211" s="2" t="str">
        <f t="shared" si="7"/>
        <v>Needs Intervention</v>
      </c>
    </row>
    <row r="212" spans="1:9" x14ac:dyDescent="0.3">
      <c r="A212" s="2" t="s">
        <v>604</v>
      </c>
      <c r="B212" s="2" t="s">
        <v>605</v>
      </c>
      <c r="C212" s="2" t="s">
        <v>31</v>
      </c>
      <c r="D212" s="2">
        <v>68</v>
      </c>
      <c r="E212" s="2">
        <v>76</v>
      </c>
      <c r="F212" s="2">
        <v>78</v>
      </c>
      <c r="G212" s="2" t="str">
        <f t="shared" si="6"/>
        <v>Pass</v>
      </c>
      <c r="H212" s="2" t="str" cm="1">
        <f t="array" ref="H212">_xlfn.IFS(F212&gt;=85,"Distinction",F212&gt;=60,"Pass",F212&lt;60,"Fail" )</f>
        <v>Pass</v>
      </c>
      <c r="I212" s="2" t="str">
        <f t="shared" si="7"/>
        <v>Needs Intervention</v>
      </c>
    </row>
    <row r="213" spans="1:9" x14ac:dyDescent="0.3">
      <c r="A213" s="2" t="s">
        <v>608</v>
      </c>
      <c r="B213" s="2" t="s">
        <v>609</v>
      </c>
      <c r="C213" s="2" t="s">
        <v>14</v>
      </c>
      <c r="D213" s="2">
        <v>65</v>
      </c>
      <c r="E213" s="2">
        <v>95</v>
      </c>
      <c r="F213" s="2">
        <v>92</v>
      </c>
      <c r="G213" s="2" t="str">
        <f t="shared" si="6"/>
        <v>Pass</v>
      </c>
      <c r="H213" s="2" t="str" cm="1">
        <f t="array" ref="H213">_xlfn.IFS(F213&gt;=85,"Distinction",F213&gt;=60,"Pass",F213&lt;60,"Fail" )</f>
        <v>Distinction</v>
      </c>
      <c r="I213" s="2" t="str">
        <f t="shared" si="7"/>
        <v>Needs Intervention</v>
      </c>
    </row>
    <row r="214" spans="1:9" x14ac:dyDescent="0.3">
      <c r="A214" s="2" t="s">
        <v>610</v>
      </c>
      <c r="B214" s="2" t="s">
        <v>611</v>
      </c>
      <c r="C214" s="2" t="s">
        <v>14</v>
      </c>
      <c r="D214" s="2">
        <v>52</v>
      </c>
      <c r="E214" s="2">
        <v>39</v>
      </c>
      <c r="F214" s="2">
        <v>51</v>
      </c>
      <c r="G214" s="2" t="str">
        <f t="shared" si="6"/>
        <v>Pass</v>
      </c>
      <c r="H214" s="2" t="str" cm="1">
        <f t="array" ref="H214">_xlfn.IFS(F214&gt;=85,"Distinction",F214&gt;=60,"Pass",F214&lt;60,"Fail" )</f>
        <v>Fail</v>
      </c>
      <c r="I214" s="2" t="str">
        <f t="shared" si="7"/>
        <v>Needs Intervention</v>
      </c>
    </row>
    <row r="215" spans="1:9" x14ac:dyDescent="0.3">
      <c r="A215" s="2" t="s">
        <v>612</v>
      </c>
      <c r="B215" s="2" t="s">
        <v>613</v>
      </c>
      <c r="C215" s="2" t="s">
        <v>26</v>
      </c>
      <c r="D215" s="2">
        <v>69</v>
      </c>
      <c r="E215" s="2">
        <v>85</v>
      </c>
      <c r="F215" s="2">
        <v>55</v>
      </c>
      <c r="G215" s="2" t="str">
        <f t="shared" si="6"/>
        <v>Pass</v>
      </c>
      <c r="H215" s="2" t="str" cm="1">
        <f t="array" ref="H215">_xlfn.IFS(F215&gt;=85,"Distinction",F215&gt;=60,"Pass",F215&lt;60,"Fail" )</f>
        <v>Fail</v>
      </c>
      <c r="I215" s="2" t="str">
        <f t="shared" si="7"/>
        <v>Needs Intervention</v>
      </c>
    </row>
    <row r="216" spans="1:9" x14ac:dyDescent="0.3">
      <c r="A216" s="2" t="s">
        <v>614</v>
      </c>
      <c r="B216" s="2" t="s">
        <v>615</v>
      </c>
      <c r="C216" s="2" t="s">
        <v>26</v>
      </c>
      <c r="D216" s="2">
        <v>73</v>
      </c>
      <c r="E216" s="2">
        <v>59</v>
      </c>
      <c r="F216" s="2">
        <v>57</v>
      </c>
      <c r="G216" s="2" t="str">
        <f t="shared" si="6"/>
        <v>Pass</v>
      </c>
      <c r="H216" s="2" t="str" cm="1">
        <f t="array" ref="H216">_xlfn.IFS(F216&gt;=85,"Distinction",F216&gt;=60,"Pass",F216&lt;60,"Fail" )</f>
        <v>Fail</v>
      </c>
      <c r="I216" s="2" t="str">
        <f t="shared" si="7"/>
        <v>Needs Intervention</v>
      </c>
    </row>
    <row r="217" spans="1:9" x14ac:dyDescent="0.3">
      <c r="A217" s="2" t="s">
        <v>618</v>
      </c>
      <c r="B217" s="2" t="s">
        <v>619</v>
      </c>
      <c r="C217" s="2" t="s">
        <v>26</v>
      </c>
      <c r="D217" s="2">
        <v>73</v>
      </c>
      <c r="E217" s="2">
        <v>62</v>
      </c>
      <c r="F217" s="2">
        <v>100</v>
      </c>
      <c r="G217" s="2" t="str">
        <f t="shared" si="6"/>
        <v>Pass</v>
      </c>
      <c r="H217" s="2" t="str" cm="1">
        <f t="array" ref="H217">_xlfn.IFS(F217&gt;=85,"Distinction",F217&gt;=60,"Pass",F217&lt;60,"Fail" )</f>
        <v>Distinction</v>
      </c>
      <c r="I217" s="2" t="str">
        <f t="shared" si="7"/>
        <v>Needs Intervention</v>
      </c>
    </row>
    <row r="218" spans="1:9" x14ac:dyDescent="0.3">
      <c r="A218" s="2" t="s">
        <v>620</v>
      </c>
      <c r="B218" s="2" t="s">
        <v>621</v>
      </c>
      <c r="C218" s="2" t="s">
        <v>31</v>
      </c>
      <c r="D218" s="2">
        <v>60</v>
      </c>
      <c r="E218" s="2">
        <v>94</v>
      </c>
      <c r="F218" s="2">
        <v>78</v>
      </c>
      <c r="G218" s="2" t="str">
        <f t="shared" si="6"/>
        <v>Pass</v>
      </c>
      <c r="H218" s="2" t="str" cm="1">
        <f t="array" ref="H218">_xlfn.IFS(F218&gt;=85,"Distinction",F218&gt;=60,"Pass",F218&lt;60,"Fail" )</f>
        <v>Pass</v>
      </c>
      <c r="I218" s="2" t="str">
        <f t="shared" si="7"/>
        <v>Needs Intervention</v>
      </c>
    </row>
    <row r="219" spans="1:9" x14ac:dyDescent="0.3">
      <c r="A219" s="2" t="s">
        <v>624</v>
      </c>
      <c r="B219" s="2" t="s">
        <v>625</v>
      </c>
      <c r="C219" s="2" t="s">
        <v>14</v>
      </c>
      <c r="D219" s="2">
        <v>57</v>
      </c>
      <c r="E219" s="2">
        <v>78</v>
      </c>
      <c r="F219" s="2">
        <v>92</v>
      </c>
      <c r="G219" s="2" t="str">
        <f t="shared" si="6"/>
        <v>Pass</v>
      </c>
      <c r="H219" s="2" t="str" cm="1">
        <f t="array" ref="H219">_xlfn.IFS(F219&gt;=85,"Distinction",F219&gt;=60,"Pass",F219&lt;60,"Fail" )</f>
        <v>Distinction</v>
      </c>
      <c r="I219" s="2" t="str">
        <f t="shared" si="7"/>
        <v>Needs Intervention</v>
      </c>
    </row>
    <row r="220" spans="1:9" x14ac:dyDescent="0.3">
      <c r="A220" s="2" t="s">
        <v>638</v>
      </c>
      <c r="B220" s="2" t="s">
        <v>639</v>
      </c>
      <c r="C220" s="2" t="s">
        <v>17</v>
      </c>
      <c r="D220" s="2">
        <v>74</v>
      </c>
      <c r="E220" s="2">
        <v>62</v>
      </c>
      <c r="F220" s="2">
        <v>85</v>
      </c>
      <c r="G220" s="2" t="str">
        <f t="shared" si="6"/>
        <v>Pass</v>
      </c>
      <c r="H220" s="2" t="str" cm="1">
        <f t="array" ref="H220">_xlfn.IFS(F220&gt;=85,"Distinction",F220&gt;=60,"Pass",F220&lt;60,"Fail" )</f>
        <v>Distinction</v>
      </c>
      <c r="I220" s="2" t="str">
        <f t="shared" si="7"/>
        <v>Needs Intervention</v>
      </c>
    </row>
    <row r="221" spans="1:9" x14ac:dyDescent="0.3">
      <c r="A221" s="2" t="s">
        <v>642</v>
      </c>
      <c r="B221" s="2" t="s">
        <v>643</v>
      </c>
      <c r="C221" s="2" t="s">
        <v>11</v>
      </c>
      <c r="D221" s="2">
        <v>74</v>
      </c>
      <c r="E221" s="2">
        <v>50</v>
      </c>
      <c r="F221" s="2">
        <v>61</v>
      </c>
      <c r="G221" s="2" t="str">
        <f t="shared" si="6"/>
        <v>Pass</v>
      </c>
      <c r="H221" s="2" t="str" cm="1">
        <f t="array" ref="H221">_xlfn.IFS(F221&gt;=85,"Distinction",F221&gt;=60,"Pass",F221&lt;60,"Fail" )</f>
        <v>Pass</v>
      </c>
      <c r="I221" s="2" t="str">
        <f t="shared" si="7"/>
        <v>Needs Intervention</v>
      </c>
    </row>
    <row r="222" spans="1:9" x14ac:dyDescent="0.3">
      <c r="A222" s="2" t="s">
        <v>646</v>
      </c>
      <c r="B222" s="2" t="s">
        <v>647</v>
      </c>
      <c r="C222" s="2" t="s">
        <v>31</v>
      </c>
      <c r="D222" s="2">
        <v>67</v>
      </c>
      <c r="E222" s="2">
        <v>35</v>
      </c>
      <c r="F222" s="2">
        <v>58</v>
      </c>
      <c r="G222" s="2" t="str">
        <f t="shared" si="6"/>
        <v>Pass</v>
      </c>
      <c r="H222" s="2" t="str" cm="1">
        <f t="array" ref="H222">_xlfn.IFS(F222&gt;=85,"Distinction",F222&gt;=60,"Pass",F222&lt;60,"Fail" )</f>
        <v>Fail</v>
      </c>
      <c r="I222" s="2" t="str">
        <f t="shared" si="7"/>
        <v>Needs Intervention</v>
      </c>
    </row>
    <row r="223" spans="1:9" x14ac:dyDescent="0.3">
      <c r="A223" s="2" t="s">
        <v>650</v>
      </c>
      <c r="B223" s="2" t="s">
        <v>651</v>
      </c>
      <c r="C223" s="2" t="s">
        <v>14</v>
      </c>
      <c r="D223" s="2">
        <v>67</v>
      </c>
      <c r="E223" s="2">
        <v>34</v>
      </c>
      <c r="F223" s="2">
        <v>74</v>
      </c>
      <c r="G223" s="2" t="str">
        <f t="shared" si="6"/>
        <v>Pass</v>
      </c>
      <c r="H223" s="2" t="str" cm="1">
        <f t="array" ref="H223">_xlfn.IFS(F223&gt;=85,"Distinction",F223&gt;=60,"Pass",F223&lt;60,"Fail" )</f>
        <v>Pass</v>
      </c>
      <c r="I223" s="2" t="str">
        <f t="shared" si="7"/>
        <v>Needs Intervention</v>
      </c>
    </row>
    <row r="224" spans="1:9" x14ac:dyDescent="0.3">
      <c r="A224" s="2" t="s">
        <v>652</v>
      </c>
      <c r="B224" s="2" t="s">
        <v>653</v>
      </c>
      <c r="C224" s="2" t="s">
        <v>26</v>
      </c>
      <c r="D224" s="2">
        <v>51</v>
      </c>
      <c r="E224" s="2">
        <v>32</v>
      </c>
      <c r="F224" s="2">
        <v>59</v>
      </c>
      <c r="G224" s="2" t="str">
        <f t="shared" si="6"/>
        <v>Pass</v>
      </c>
      <c r="H224" s="2" t="str" cm="1">
        <f t="array" ref="H224">_xlfn.IFS(F224&gt;=85,"Distinction",F224&gt;=60,"Pass",F224&lt;60,"Fail" )</f>
        <v>Fail</v>
      </c>
      <c r="I224" s="2" t="str">
        <f t="shared" si="7"/>
        <v>Needs Intervention</v>
      </c>
    </row>
    <row r="225" spans="1:9" x14ac:dyDescent="0.3">
      <c r="A225" s="2" t="s">
        <v>656</v>
      </c>
      <c r="B225" s="2" t="s">
        <v>657</v>
      </c>
      <c r="C225" s="2" t="s">
        <v>26</v>
      </c>
      <c r="D225" s="2">
        <v>65</v>
      </c>
      <c r="E225" s="2">
        <v>52</v>
      </c>
      <c r="F225" s="2">
        <v>69</v>
      </c>
      <c r="G225" s="2" t="str">
        <f t="shared" si="6"/>
        <v>Pass</v>
      </c>
      <c r="H225" s="2" t="str" cm="1">
        <f t="array" ref="H225">_xlfn.IFS(F225&gt;=85,"Distinction",F225&gt;=60,"Pass",F225&lt;60,"Fail" )</f>
        <v>Pass</v>
      </c>
      <c r="I225" s="2" t="str">
        <f t="shared" si="7"/>
        <v>Needs Intervention</v>
      </c>
    </row>
    <row r="226" spans="1:9" x14ac:dyDescent="0.3">
      <c r="A226" s="2" t="s">
        <v>664</v>
      </c>
      <c r="B226" s="2" t="s">
        <v>665</v>
      </c>
      <c r="C226" s="2" t="s">
        <v>11</v>
      </c>
      <c r="D226" s="2">
        <v>53</v>
      </c>
      <c r="E226" s="2">
        <v>30</v>
      </c>
      <c r="F226" s="2">
        <v>76</v>
      </c>
      <c r="G226" s="2" t="str">
        <f t="shared" si="6"/>
        <v>Pass</v>
      </c>
      <c r="H226" s="2" t="str" cm="1">
        <f t="array" ref="H226">_xlfn.IFS(F226&gt;=85,"Distinction",F226&gt;=60,"Pass",F226&lt;60,"Fail" )</f>
        <v>Pass</v>
      </c>
      <c r="I226" s="2" t="str">
        <f t="shared" si="7"/>
        <v>Needs Intervention</v>
      </c>
    </row>
    <row r="227" spans="1:9" x14ac:dyDescent="0.3">
      <c r="A227" s="2" t="s">
        <v>668</v>
      </c>
      <c r="B227" s="2" t="s">
        <v>669</v>
      </c>
      <c r="C227" s="2" t="s">
        <v>26</v>
      </c>
      <c r="D227" s="2">
        <v>63</v>
      </c>
      <c r="E227" s="2">
        <v>74</v>
      </c>
      <c r="F227" s="2">
        <v>67</v>
      </c>
      <c r="G227" s="2" t="str">
        <f t="shared" si="6"/>
        <v>Pass</v>
      </c>
      <c r="H227" s="2" t="str" cm="1">
        <f t="array" ref="H227">_xlfn.IFS(F227&gt;=85,"Distinction",F227&gt;=60,"Pass",F227&lt;60,"Fail" )</f>
        <v>Pass</v>
      </c>
      <c r="I227" s="2" t="str">
        <f t="shared" si="7"/>
        <v>Needs Intervention</v>
      </c>
    </row>
    <row r="228" spans="1:9" x14ac:dyDescent="0.3">
      <c r="A228" s="2" t="s">
        <v>670</v>
      </c>
      <c r="B228" s="2" t="s">
        <v>341</v>
      </c>
      <c r="C228" s="2" t="s">
        <v>26</v>
      </c>
      <c r="D228" s="2">
        <v>70</v>
      </c>
      <c r="E228" s="2">
        <v>33</v>
      </c>
      <c r="F228" s="2">
        <v>80</v>
      </c>
      <c r="G228" s="2" t="str">
        <f t="shared" si="6"/>
        <v>Pass</v>
      </c>
      <c r="H228" s="2" t="str" cm="1">
        <f t="array" ref="H228">_xlfn.IFS(F228&gt;=85,"Distinction",F228&gt;=60,"Pass",F228&lt;60,"Fail" )</f>
        <v>Pass</v>
      </c>
      <c r="I228" s="2" t="str">
        <f t="shared" si="7"/>
        <v>Needs Intervention</v>
      </c>
    </row>
    <row r="229" spans="1:9" x14ac:dyDescent="0.3">
      <c r="A229" s="2" t="s">
        <v>679</v>
      </c>
      <c r="B229" s="2" t="s">
        <v>680</v>
      </c>
      <c r="C229" s="2" t="s">
        <v>14</v>
      </c>
      <c r="D229" s="2">
        <v>52</v>
      </c>
      <c r="E229" s="2">
        <v>68</v>
      </c>
      <c r="F229" s="2">
        <v>58</v>
      </c>
      <c r="G229" s="2" t="str">
        <f t="shared" si="6"/>
        <v>Pass</v>
      </c>
      <c r="H229" s="2" t="str" cm="1">
        <f t="array" ref="H229">_xlfn.IFS(F229&gt;=85,"Distinction",F229&gt;=60,"Pass",F229&lt;60,"Fail" )</f>
        <v>Fail</v>
      </c>
      <c r="I229" s="2" t="str">
        <f t="shared" si="7"/>
        <v>Needs Intervention</v>
      </c>
    </row>
    <row r="230" spans="1:9" x14ac:dyDescent="0.3">
      <c r="A230" s="2" t="s">
        <v>681</v>
      </c>
      <c r="B230" s="2" t="s">
        <v>682</v>
      </c>
      <c r="C230" s="2" t="s">
        <v>26</v>
      </c>
      <c r="D230" s="2">
        <v>66</v>
      </c>
      <c r="E230" s="2">
        <v>55</v>
      </c>
      <c r="F230" s="2">
        <v>84</v>
      </c>
      <c r="G230" s="2" t="str">
        <f t="shared" si="6"/>
        <v>Pass</v>
      </c>
      <c r="H230" s="2" t="str" cm="1">
        <f t="array" ref="H230">_xlfn.IFS(F230&gt;=85,"Distinction",F230&gt;=60,"Pass",F230&lt;60,"Fail" )</f>
        <v>Pass</v>
      </c>
      <c r="I230" s="2" t="str">
        <f t="shared" si="7"/>
        <v>Needs Intervention</v>
      </c>
    </row>
    <row r="231" spans="1:9" x14ac:dyDescent="0.3">
      <c r="A231" s="2" t="s">
        <v>691</v>
      </c>
      <c r="B231" s="2" t="s">
        <v>692</v>
      </c>
      <c r="C231" s="2" t="s">
        <v>17</v>
      </c>
      <c r="D231" s="2">
        <v>71</v>
      </c>
      <c r="E231" s="2">
        <v>41</v>
      </c>
      <c r="F231" s="2">
        <v>84</v>
      </c>
      <c r="G231" s="2" t="str">
        <f t="shared" si="6"/>
        <v>Pass</v>
      </c>
      <c r="H231" s="2" t="str" cm="1">
        <f t="array" ref="H231">_xlfn.IFS(F231&gt;=85,"Distinction",F231&gt;=60,"Pass",F231&lt;60,"Fail" )</f>
        <v>Pass</v>
      </c>
      <c r="I231" s="2" t="str">
        <f t="shared" si="7"/>
        <v>Needs Intervention</v>
      </c>
    </row>
    <row r="232" spans="1:9" x14ac:dyDescent="0.3">
      <c r="A232" s="2" t="s">
        <v>693</v>
      </c>
      <c r="B232" s="2" t="s">
        <v>694</v>
      </c>
      <c r="C232" s="2" t="s">
        <v>11</v>
      </c>
      <c r="D232" s="2">
        <v>71</v>
      </c>
      <c r="E232" s="2">
        <v>94</v>
      </c>
      <c r="F232" s="2">
        <v>61</v>
      </c>
      <c r="G232" s="2" t="str">
        <f t="shared" si="6"/>
        <v>Pass</v>
      </c>
      <c r="H232" s="2" t="str" cm="1">
        <f t="array" ref="H232">_xlfn.IFS(F232&gt;=85,"Distinction",F232&gt;=60,"Pass",F232&lt;60,"Fail" )</f>
        <v>Pass</v>
      </c>
      <c r="I232" s="2" t="str">
        <f t="shared" si="7"/>
        <v>Needs Intervention</v>
      </c>
    </row>
    <row r="233" spans="1:9" x14ac:dyDescent="0.3">
      <c r="A233" s="2" t="s">
        <v>707</v>
      </c>
      <c r="B233" s="2" t="s">
        <v>708</v>
      </c>
      <c r="C233" s="2" t="s">
        <v>17</v>
      </c>
      <c r="D233" s="2">
        <v>57</v>
      </c>
      <c r="E233" s="2">
        <v>43</v>
      </c>
      <c r="F233" s="2">
        <v>88</v>
      </c>
      <c r="G233" s="2" t="str">
        <f t="shared" si="6"/>
        <v>Pass</v>
      </c>
      <c r="H233" s="2" t="str" cm="1">
        <f t="array" ref="H233">_xlfn.IFS(F233&gt;=85,"Distinction",F233&gt;=60,"Pass",F233&lt;60,"Fail" )</f>
        <v>Distinction</v>
      </c>
      <c r="I233" s="2" t="str">
        <f t="shared" si="7"/>
        <v>Needs Intervention</v>
      </c>
    </row>
    <row r="234" spans="1:9" x14ac:dyDescent="0.3">
      <c r="A234" s="2" t="s">
        <v>727</v>
      </c>
      <c r="B234" s="2" t="s">
        <v>728</v>
      </c>
      <c r="C234" s="2" t="s">
        <v>17</v>
      </c>
      <c r="D234" s="2">
        <v>54</v>
      </c>
      <c r="E234" s="2">
        <v>81</v>
      </c>
      <c r="F234" s="2">
        <v>97</v>
      </c>
      <c r="G234" s="2" t="str">
        <f t="shared" si="6"/>
        <v>Pass</v>
      </c>
      <c r="H234" s="2" t="str" cm="1">
        <f t="array" ref="H234">_xlfn.IFS(F234&gt;=85,"Distinction",F234&gt;=60,"Pass",F234&lt;60,"Fail" )</f>
        <v>Distinction</v>
      </c>
      <c r="I234" s="2" t="str">
        <f t="shared" si="7"/>
        <v>Needs Intervention</v>
      </c>
    </row>
    <row r="235" spans="1:9" x14ac:dyDescent="0.3">
      <c r="A235" s="2" t="s">
        <v>731</v>
      </c>
      <c r="B235" s="2" t="s">
        <v>732</v>
      </c>
      <c r="C235" s="2" t="s">
        <v>31</v>
      </c>
      <c r="D235" s="2">
        <v>68</v>
      </c>
      <c r="E235" s="2">
        <v>59</v>
      </c>
      <c r="F235" s="2">
        <v>83</v>
      </c>
      <c r="G235" s="2" t="str">
        <f t="shared" si="6"/>
        <v>Pass</v>
      </c>
      <c r="H235" s="2" t="str" cm="1">
        <f t="array" ref="H235">_xlfn.IFS(F235&gt;=85,"Distinction",F235&gt;=60,"Pass",F235&lt;60,"Fail" )</f>
        <v>Pass</v>
      </c>
      <c r="I235" s="2" t="str">
        <f t="shared" si="7"/>
        <v>Needs Intervention</v>
      </c>
    </row>
    <row r="236" spans="1:9" x14ac:dyDescent="0.3">
      <c r="A236" s="2" t="s">
        <v>751</v>
      </c>
      <c r="B236" s="2" t="s">
        <v>752</v>
      </c>
      <c r="C236" s="2" t="s">
        <v>26</v>
      </c>
      <c r="D236" s="2">
        <v>55</v>
      </c>
      <c r="E236" s="2">
        <v>63</v>
      </c>
      <c r="F236" s="2">
        <v>65</v>
      </c>
      <c r="G236" s="2" t="str">
        <f t="shared" si="6"/>
        <v>Pass</v>
      </c>
      <c r="H236" s="2" t="str" cm="1">
        <f t="array" ref="H236">_xlfn.IFS(F236&gt;=85,"Distinction",F236&gt;=60,"Pass",F236&lt;60,"Fail" )</f>
        <v>Pass</v>
      </c>
      <c r="I236" s="2" t="str">
        <f t="shared" si="7"/>
        <v>Needs Intervention</v>
      </c>
    </row>
    <row r="237" spans="1:9" x14ac:dyDescent="0.3">
      <c r="A237" s="2" t="s">
        <v>9</v>
      </c>
      <c r="B237" s="2" t="s">
        <v>10</v>
      </c>
      <c r="C237" s="2" t="s">
        <v>11</v>
      </c>
      <c r="D237" s="2">
        <v>88</v>
      </c>
      <c r="E237" s="2">
        <v>75</v>
      </c>
      <c r="F237" s="2">
        <v>84</v>
      </c>
      <c r="G237" s="2" t="str">
        <f t="shared" si="6"/>
        <v>Pass</v>
      </c>
      <c r="H237" s="2" t="str" cm="1">
        <f t="array" ref="H237">_xlfn.IFS(F237&gt;=85,"Distinction",F237&gt;=60,"Pass",F237&lt;60,"Fail" )</f>
        <v>Pass</v>
      </c>
      <c r="I237" s="2" t="str">
        <f t="shared" si="7"/>
        <v>OK</v>
      </c>
    </row>
    <row r="238" spans="1:9" x14ac:dyDescent="0.3">
      <c r="A238" s="2" t="s">
        <v>24</v>
      </c>
      <c r="B238" s="2" t="s">
        <v>25</v>
      </c>
      <c r="C238" s="2" t="s">
        <v>26</v>
      </c>
      <c r="D238" s="2">
        <v>88</v>
      </c>
      <c r="E238" s="2">
        <v>96</v>
      </c>
      <c r="F238" s="2">
        <v>54</v>
      </c>
      <c r="G238" s="2" t="str">
        <f t="shared" si="6"/>
        <v>Pass</v>
      </c>
      <c r="H238" s="2" t="str" cm="1">
        <f t="array" ref="H238">_xlfn.IFS(F238&gt;=85,"Distinction",F238&gt;=60,"Pass",F238&lt;60,"Fail" )</f>
        <v>Fail</v>
      </c>
      <c r="I238" s="2" t="str">
        <f t="shared" si="7"/>
        <v>OK</v>
      </c>
    </row>
    <row r="239" spans="1:9" x14ac:dyDescent="0.3">
      <c r="A239" s="2" t="s">
        <v>38</v>
      </c>
      <c r="B239" s="2" t="s">
        <v>39</v>
      </c>
      <c r="C239" s="2" t="s">
        <v>14</v>
      </c>
      <c r="D239" s="2">
        <v>85</v>
      </c>
      <c r="E239" s="2">
        <v>75</v>
      </c>
      <c r="F239" s="2">
        <v>90</v>
      </c>
      <c r="G239" s="2" t="str">
        <f t="shared" si="6"/>
        <v>Pass</v>
      </c>
      <c r="H239" s="2" t="str" cm="1">
        <f t="array" ref="H239">_xlfn.IFS(F239&gt;=85,"Distinction",F239&gt;=60,"Pass",F239&lt;60,"Fail" )</f>
        <v>Distinction</v>
      </c>
      <c r="I239" s="2" t="str">
        <f t="shared" si="7"/>
        <v>OK</v>
      </c>
    </row>
    <row r="240" spans="1:9" x14ac:dyDescent="0.3">
      <c r="A240" s="2" t="s">
        <v>40</v>
      </c>
      <c r="B240" s="2" t="s">
        <v>41</v>
      </c>
      <c r="C240" s="2" t="s">
        <v>14</v>
      </c>
      <c r="D240" s="2">
        <v>89</v>
      </c>
      <c r="E240" s="2">
        <v>53</v>
      </c>
      <c r="F240" s="2">
        <v>80</v>
      </c>
      <c r="G240" s="2" t="str">
        <f t="shared" si="6"/>
        <v>Pass</v>
      </c>
      <c r="H240" s="2" t="str" cm="1">
        <f t="array" ref="H240">_xlfn.IFS(F240&gt;=85,"Distinction",F240&gt;=60,"Pass",F240&lt;60,"Fail" )</f>
        <v>Pass</v>
      </c>
      <c r="I240" s="2" t="str">
        <f t="shared" si="7"/>
        <v>OK</v>
      </c>
    </row>
    <row r="241" spans="1:9" x14ac:dyDescent="0.3">
      <c r="A241" s="2" t="s">
        <v>52</v>
      </c>
      <c r="B241" s="2" t="s">
        <v>53</v>
      </c>
      <c r="C241" s="2" t="s">
        <v>14</v>
      </c>
      <c r="D241" s="2">
        <v>93</v>
      </c>
      <c r="E241" s="2">
        <v>31</v>
      </c>
      <c r="F241" s="2">
        <v>51</v>
      </c>
      <c r="G241" s="2" t="str">
        <f t="shared" si="6"/>
        <v>Pass</v>
      </c>
      <c r="H241" s="2" t="str" cm="1">
        <f t="array" ref="H241">_xlfn.IFS(F241&gt;=85,"Distinction",F241&gt;=60,"Pass",F241&lt;60,"Fail" )</f>
        <v>Fail</v>
      </c>
      <c r="I241" s="2" t="str">
        <f t="shared" si="7"/>
        <v>OK</v>
      </c>
    </row>
    <row r="242" spans="1:9" x14ac:dyDescent="0.3">
      <c r="A242" s="2" t="s">
        <v>54</v>
      </c>
      <c r="B242" s="2" t="s">
        <v>55</v>
      </c>
      <c r="C242" s="2" t="s">
        <v>26</v>
      </c>
      <c r="D242" s="2">
        <v>79</v>
      </c>
      <c r="E242" s="2">
        <v>46</v>
      </c>
      <c r="F242" s="2">
        <v>50</v>
      </c>
      <c r="G242" s="2" t="str">
        <f t="shared" si="6"/>
        <v>Pass</v>
      </c>
      <c r="H242" s="2" t="str" cm="1">
        <f t="array" ref="H242">_xlfn.IFS(F242&gt;=85,"Distinction",F242&gt;=60,"Pass",F242&lt;60,"Fail" )</f>
        <v>Fail</v>
      </c>
      <c r="I242" s="2" t="str">
        <f t="shared" si="7"/>
        <v>OK</v>
      </c>
    </row>
    <row r="243" spans="1:9" x14ac:dyDescent="0.3">
      <c r="A243" s="2" t="s">
        <v>56</v>
      </c>
      <c r="B243" s="2" t="s">
        <v>57</v>
      </c>
      <c r="C243" s="2" t="s">
        <v>11</v>
      </c>
      <c r="D243" s="2">
        <v>87</v>
      </c>
      <c r="E243" s="2">
        <v>62</v>
      </c>
      <c r="F243" s="2">
        <v>99</v>
      </c>
      <c r="G243" s="2" t="str">
        <f t="shared" si="6"/>
        <v>Pass</v>
      </c>
      <c r="H243" s="2" t="str" cm="1">
        <f t="array" ref="H243">_xlfn.IFS(F243&gt;=85,"Distinction",F243&gt;=60,"Pass",F243&lt;60,"Fail" )</f>
        <v>Distinction</v>
      </c>
      <c r="I243" s="2" t="str">
        <f t="shared" si="7"/>
        <v>OK</v>
      </c>
    </row>
    <row r="244" spans="1:9" x14ac:dyDescent="0.3">
      <c r="A244" s="2" t="s">
        <v>68</v>
      </c>
      <c r="B244" s="2" t="s">
        <v>69</v>
      </c>
      <c r="C244" s="2" t="s">
        <v>14</v>
      </c>
      <c r="D244" s="2">
        <v>93</v>
      </c>
      <c r="E244" s="2">
        <v>55</v>
      </c>
      <c r="F244" s="2">
        <v>78</v>
      </c>
      <c r="G244" s="2" t="str">
        <f t="shared" si="6"/>
        <v>Pass</v>
      </c>
      <c r="H244" s="2" t="str" cm="1">
        <f t="array" ref="H244">_xlfn.IFS(F244&gt;=85,"Distinction",F244&gt;=60,"Pass",F244&lt;60,"Fail" )</f>
        <v>Pass</v>
      </c>
      <c r="I244" s="2" t="str">
        <f t="shared" si="7"/>
        <v>OK</v>
      </c>
    </row>
    <row r="245" spans="1:9" x14ac:dyDescent="0.3">
      <c r="A245" s="2" t="s">
        <v>72</v>
      </c>
      <c r="B245" s="2" t="s">
        <v>73</v>
      </c>
      <c r="C245" s="2" t="s">
        <v>11</v>
      </c>
      <c r="D245" s="2">
        <v>98</v>
      </c>
      <c r="E245" s="2">
        <v>54</v>
      </c>
      <c r="F245" s="2">
        <v>56</v>
      </c>
      <c r="G245" s="2" t="str">
        <f t="shared" si="6"/>
        <v>Pass</v>
      </c>
      <c r="H245" s="2" t="str" cm="1">
        <f t="array" ref="H245">_xlfn.IFS(F245&gt;=85,"Distinction",F245&gt;=60,"Pass",F245&lt;60,"Fail" )</f>
        <v>Fail</v>
      </c>
      <c r="I245" s="2" t="str">
        <f t="shared" si="7"/>
        <v>OK</v>
      </c>
    </row>
    <row r="246" spans="1:9" x14ac:dyDescent="0.3">
      <c r="A246" s="2" t="s">
        <v>74</v>
      </c>
      <c r="B246" s="2" t="s">
        <v>75</v>
      </c>
      <c r="C246" s="2" t="s">
        <v>26</v>
      </c>
      <c r="D246" s="2">
        <v>76</v>
      </c>
      <c r="E246" s="2">
        <v>53</v>
      </c>
      <c r="F246" s="2">
        <v>55</v>
      </c>
      <c r="G246" s="2" t="str">
        <f t="shared" si="6"/>
        <v>Pass</v>
      </c>
      <c r="H246" s="2" t="str" cm="1">
        <f t="array" ref="H246">_xlfn.IFS(F246&gt;=85,"Distinction",F246&gt;=60,"Pass",F246&lt;60,"Fail" )</f>
        <v>Fail</v>
      </c>
      <c r="I246" s="2" t="str">
        <f t="shared" si="7"/>
        <v>OK</v>
      </c>
    </row>
    <row r="247" spans="1:9" x14ac:dyDescent="0.3">
      <c r="A247" s="2" t="s">
        <v>76</v>
      </c>
      <c r="B247" s="2" t="s">
        <v>77</v>
      </c>
      <c r="C247" s="2" t="s">
        <v>11</v>
      </c>
      <c r="D247" s="2">
        <v>91</v>
      </c>
      <c r="E247" s="2">
        <v>42</v>
      </c>
      <c r="F247" s="2">
        <v>76</v>
      </c>
      <c r="G247" s="2" t="str">
        <f t="shared" si="6"/>
        <v>Pass</v>
      </c>
      <c r="H247" s="2" t="str" cm="1">
        <f t="array" ref="H247">_xlfn.IFS(F247&gt;=85,"Distinction",F247&gt;=60,"Pass",F247&lt;60,"Fail" )</f>
        <v>Pass</v>
      </c>
      <c r="I247" s="2" t="str">
        <f t="shared" si="7"/>
        <v>OK</v>
      </c>
    </row>
    <row r="248" spans="1:9" x14ac:dyDescent="0.3">
      <c r="A248" s="2" t="s">
        <v>78</v>
      </c>
      <c r="B248" s="2" t="s">
        <v>79</v>
      </c>
      <c r="C248" s="2" t="s">
        <v>31</v>
      </c>
      <c r="D248" s="2">
        <v>77</v>
      </c>
      <c r="E248" s="2">
        <v>89</v>
      </c>
      <c r="F248" s="2">
        <v>85</v>
      </c>
      <c r="G248" s="2" t="str">
        <f t="shared" si="6"/>
        <v>Pass</v>
      </c>
      <c r="H248" s="2" t="str" cm="1">
        <f t="array" ref="H248">_xlfn.IFS(F248&gt;=85,"Distinction",F248&gt;=60,"Pass",F248&lt;60,"Fail" )</f>
        <v>Distinction</v>
      </c>
      <c r="I248" s="2" t="str">
        <f t="shared" si="7"/>
        <v>OK</v>
      </c>
    </row>
    <row r="249" spans="1:9" x14ac:dyDescent="0.3">
      <c r="A249" s="2" t="s">
        <v>84</v>
      </c>
      <c r="B249" s="2" t="s">
        <v>85</v>
      </c>
      <c r="C249" s="2" t="s">
        <v>31</v>
      </c>
      <c r="D249" s="2">
        <v>96</v>
      </c>
      <c r="E249" s="2">
        <v>65</v>
      </c>
      <c r="F249" s="2">
        <v>90</v>
      </c>
      <c r="G249" s="2" t="str">
        <f t="shared" si="6"/>
        <v>Pass</v>
      </c>
      <c r="H249" s="2" t="str" cm="1">
        <f t="array" ref="H249">_xlfn.IFS(F249&gt;=85,"Distinction",F249&gt;=60,"Pass",F249&lt;60,"Fail" )</f>
        <v>Distinction</v>
      </c>
      <c r="I249" s="2" t="str">
        <f t="shared" si="7"/>
        <v>OK</v>
      </c>
    </row>
    <row r="250" spans="1:9" x14ac:dyDescent="0.3">
      <c r="A250" s="2" t="s">
        <v>86</v>
      </c>
      <c r="B250" s="2" t="s">
        <v>87</v>
      </c>
      <c r="C250" s="2" t="s">
        <v>26</v>
      </c>
      <c r="D250" s="2">
        <v>100</v>
      </c>
      <c r="E250" s="2">
        <v>74</v>
      </c>
      <c r="F250" s="2">
        <v>55</v>
      </c>
      <c r="G250" s="2" t="str">
        <f t="shared" si="6"/>
        <v>Pass</v>
      </c>
      <c r="H250" s="2" t="str" cm="1">
        <f t="array" ref="H250">_xlfn.IFS(F250&gt;=85,"Distinction",F250&gt;=60,"Pass",F250&lt;60,"Fail" )</f>
        <v>Fail</v>
      </c>
      <c r="I250" s="2" t="str">
        <f t="shared" si="7"/>
        <v>OK</v>
      </c>
    </row>
    <row r="251" spans="1:9" x14ac:dyDescent="0.3">
      <c r="A251" s="2" t="s">
        <v>88</v>
      </c>
      <c r="B251" s="2" t="s">
        <v>89</v>
      </c>
      <c r="C251" s="2" t="s">
        <v>11</v>
      </c>
      <c r="D251" s="2">
        <v>93</v>
      </c>
      <c r="E251" s="2">
        <v>49</v>
      </c>
      <c r="F251" s="2">
        <v>65</v>
      </c>
      <c r="G251" s="2" t="str">
        <f t="shared" si="6"/>
        <v>Pass</v>
      </c>
      <c r="H251" s="2" t="str" cm="1">
        <f t="array" ref="H251">_xlfn.IFS(F251&gt;=85,"Distinction",F251&gt;=60,"Pass",F251&lt;60,"Fail" )</f>
        <v>Pass</v>
      </c>
      <c r="I251" s="2" t="str">
        <f t="shared" si="7"/>
        <v>OK</v>
      </c>
    </row>
    <row r="252" spans="1:9" x14ac:dyDescent="0.3">
      <c r="A252" s="2" t="s">
        <v>94</v>
      </c>
      <c r="B252" s="2" t="s">
        <v>95</v>
      </c>
      <c r="C252" s="2" t="s">
        <v>11</v>
      </c>
      <c r="D252" s="2">
        <v>100</v>
      </c>
      <c r="E252" s="2">
        <v>45</v>
      </c>
      <c r="F252" s="2">
        <v>81</v>
      </c>
      <c r="G252" s="2" t="str">
        <f t="shared" si="6"/>
        <v>Pass</v>
      </c>
      <c r="H252" s="2" t="str" cm="1">
        <f t="array" ref="H252">_xlfn.IFS(F252&gt;=85,"Distinction",F252&gt;=60,"Pass",F252&lt;60,"Fail" )</f>
        <v>Pass</v>
      </c>
      <c r="I252" s="2" t="str">
        <f t="shared" si="7"/>
        <v>OK</v>
      </c>
    </row>
    <row r="253" spans="1:9" x14ac:dyDescent="0.3">
      <c r="A253" s="2" t="s">
        <v>102</v>
      </c>
      <c r="B253" s="2" t="s">
        <v>103</v>
      </c>
      <c r="C253" s="2" t="s">
        <v>14</v>
      </c>
      <c r="D253" s="2">
        <v>88</v>
      </c>
      <c r="E253" s="2">
        <v>61</v>
      </c>
      <c r="F253" s="2">
        <v>57</v>
      </c>
      <c r="G253" s="2" t="str">
        <f t="shared" si="6"/>
        <v>Pass</v>
      </c>
      <c r="H253" s="2" t="str" cm="1">
        <f t="array" ref="H253">_xlfn.IFS(F253&gt;=85,"Distinction",F253&gt;=60,"Pass",F253&lt;60,"Fail" )</f>
        <v>Fail</v>
      </c>
      <c r="I253" s="2" t="str">
        <f t="shared" si="7"/>
        <v>OK</v>
      </c>
    </row>
    <row r="254" spans="1:9" x14ac:dyDescent="0.3">
      <c r="A254" s="2" t="s">
        <v>112</v>
      </c>
      <c r="B254" s="2" t="s">
        <v>113</v>
      </c>
      <c r="C254" s="2" t="s">
        <v>17</v>
      </c>
      <c r="D254" s="2">
        <v>99</v>
      </c>
      <c r="E254" s="2">
        <v>92</v>
      </c>
      <c r="F254" s="2">
        <v>85</v>
      </c>
      <c r="G254" s="2" t="str">
        <f t="shared" si="6"/>
        <v>Pass</v>
      </c>
      <c r="H254" s="2" t="str" cm="1">
        <f t="array" ref="H254">_xlfn.IFS(F254&gt;=85,"Distinction",F254&gt;=60,"Pass",F254&lt;60,"Fail" )</f>
        <v>Distinction</v>
      </c>
      <c r="I254" s="2" t="str">
        <f t="shared" si="7"/>
        <v>OK</v>
      </c>
    </row>
    <row r="255" spans="1:9" x14ac:dyDescent="0.3">
      <c r="A255" s="2" t="s">
        <v>122</v>
      </c>
      <c r="B255" s="2" t="s">
        <v>123</v>
      </c>
      <c r="C255" s="2" t="s">
        <v>11</v>
      </c>
      <c r="D255" s="2">
        <v>77</v>
      </c>
      <c r="E255" s="2">
        <v>78</v>
      </c>
      <c r="F255" s="2">
        <v>67</v>
      </c>
      <c r="G255" s="2" t="str">
        <f t="shared" si="6"/>
        <v>Pass</v>
      </c>
      <c r="H255" s="2" t="str" cm="1">
        <f t="array" ref="H255">_xlfn.IFS(F255&gt;=85,"Distinction",F255&gt;=60,"Pass",F255&lt;60,"Fail" )</f>
        <v>Pass</v>
      </c>
      <c r="I255" s="2" t="str">
        <f t="shared" si="7"/>
        <v>OK</v>
      </c>
    </row>
    <row r="256" spans="1:9" x14ac:dyDescent="0.3">
      <c r="A256" s="2" t="s">
        <v>128</v>
      </c>
      <c r="B256" s="2" t="s">
        <v>129</v>
      </c>
      <c r="C256" s="2" t="s">
        <v>11</v>
      </c>
      <c r="D256" s="2">
        <v>93</v>
      </c>
      <c r="E256" s="2">
        <v>99</v>
      </c>
      <c r="F256" s="2">
        <v>57</v>
      </c>
      <c r="G256" s="2" t="str">
        <f t="shared" si="6"/>
        <v>Pass</v>
      </c>
      <c r="H256" s="2" t="str" cm="1">
        <f t="array" ref="H256">_xlfn.IFS(F256&gt;=85,"Distinction",F256&gt;=60,"Pass",F256&lt;60,"Fail" )</f>
        <v>Fail</v>
      </c>
      <c r="I256" s="2" t="str">
        <f t="shared" si="7"/>
        <v>OK</v>
      </c>
    </row>
    <row r="257" spans="1:9" x14ac:dyDescent="0.3">
      <c r="A257" s="2" t="s">
        <v>132</v>
      </c>
      <c r="B257" s="2" t="s">
        <v>133</v>
      </c>
      <c r="C257" s="2" t="s">
        <v>17</v>
      </c>
      <c r="D257" s="2">
        <v>96</v>
      </c>
      <c r="E257" s="2">
        <v>83</v>
      </c>
      <c r="F257" s="2">
        <v>86</v>
      </c>
      <c r="G257" s="2" t="str">
        <f t="shared" si="6"/>
        <v>Pass</v>
      </c>
      <c r="H257" s="2" t="str" cm="1">
        <f t="array" ref="H257">_xlfn.IFS(F257&gt;=85,"Distinction",F257&gt;=60,"Pass",F257&lt;60,"Fail" )</f>
        <v>Distinction</v>
      </c>
      <c r="I257" s="2" t="str">
        <f t="shared" si="7"/>
        <v>OK</v>
      </c>
    </row>
    <row r="258" spans="1:9" x14ac:dyDescent="0.3">
      <c r="A258" s="2" t="s">
        <v>144</v>
      </c>
      <c r="B258" s="2" t="s">
        <v>145</v>
      </c>
      <c r="C258" s="2" t="s">
        <v>11</v>
      </c>
      <c r="D258" s="2">
        <v>89</v>
      </c>
      <c r="E258" s="2">
        <v>97</v>
      </c>
      <c r="F258" s="2">
        <v>54</v>
      </c>
      <c r="G258" s="2" t="str">
        <f t="shared" ref="G258:G321" si="8">IF($F258&gt;=50,"Pass","Fail")</f>
        <v>Pass</v>
      </c>
      <c r="H258" s="2" t="str" cm="1">
        <f t="array" ref="H258">_xlfn.IFS(F258&gt;=85,"Distinction",F258&gt;=60,"Pass",F258&lt;60,"Fail" )</f>
        <v>Fail</v>
      </c>
      <c r="I258" s="2" t="str">
        <f t="shared" ref="I258:I321" si="9">IF(OR(D258&lt;75,F258&lt;50),"Needs Intervention","OK")</f>
        <v>OK</v>
      </c>
    </row>
    <row r="259" spans="1:9" x14ac:dyDescent="0.3">
      <c r="A259" s="2" t="s">
        <v>160</v>
      </c>
      <c r="B259" s="2" t="s">
        <v>161</v>
      </c>
      <c r="C259" s="2" t="s">
        <v>17</v>
      </c>
      <c r="D259" s="2">
        <v>75</v>
      </c>
      <c r="E259" s="2">
        <v>59</v>
      </c>
      <c r="F259" s="2">
        <v>71</v>
      </c>
      <c r="G259" s="2" t="str">
        <f t="shared" si="8"/>
        <v>Pass</v>
      </c>
      <c r="H259" s="2" t="str" cm="1">
        <f t="array" ref="H259">_xlfn.IFS(F259&gt;=85,"Distinction",F259&gt;=60,"Pass",F259&lt;60,"Fail" )</f>
        <v>Pass</v>
      </c>
      <c r="I259" s="2" t="str">
        <f t="shared" si="9"/>
        <v>OK</v>
      </c>
    </row>
    <row r="260" spans="1:9" x14ac:dyDescent="0.3">
      <c r="A260" s="2" t="s">
        <v>162</v>
      </c>
      <c r="B260" s="2" t="s">
        <v>163</v>
      </c>
      <c r="C260" s="2" t="s">
        <v>11</v>
      </c>
      <c r="D260" s="2">
        <v>93</v>
      </c>
      <c r="E260" s="2">
        <v>48</v>
      </c>
      <c r="F260" s="2">
        <v>70</v>
      </c>
      <c r="G260" s="2" t="str">
        <f t="shared" si="8"/>
        <v>Pass</v>
      </c>
      <c r="H260" s="2" t="str" cm="1">
        <f t="array" ref="H260">_xlfn.IFS(F260&gt;=85,"Distinction",F260&gt;=60,"Pass",F260&lt;60,"Fail" )</f>
        <v>Pass</v>
      </c>
      <c r="I260" s="2" t="str">
        <f t="shared" si="9"/>
        <v>OK</v>
      </c>
    </row>
    <row r="261" spans="1:9" x14ac:dyDescent="0.3">
      <c r="A261" s="2" t="s">
        <v>168</v>
      </c>
      <c r="B261" s="2" t="s">
        <v>169</v>
      </c>
      <c r="C261" s="2" t="s">
        <v>31</v>
      </c>
      <c r="D261" s="2">
        <v>85</v>
      </c>
      <c r="E261" s="2">
        <v>48</v>
      </c>
      <c r="F261" s="2">
        <v>55</v>
      </c>
      <c r="G261" s="2" t="str">
        <f t="shared" si="8"/>
        <v>Pass</v>
      </c>
      <c r="H261" s="2" t="str" cm="1">
        <f t="array" ref="H261">_xlfn.IFS(F261&gt;=85,"Distinction",F261&gt;=60,"Pass",F261&lt;60,"Fail" )</f>
        <v>Fail</v>
      </c>
      <c r="I261" s="2" t="str">
        <f t="shared" si="9"/>
        <v>OK</v>
      </c>
    </row>
    <row r="262" spans="1:9" x14ac:dyDescent="0.3">
      <c r="A262" s="2" t="s">
        <v>172</v>
      </c>
      <c r="B262" s="2" t="s">
        <v>173</v>
      </c>
      <c r="C262" s="2" t="s">
        <v>17</v>
      </c>
      <c r="D262" s="2">
        <v>80</v>
      </c>
      <c r="E262" s="2">
        <v>84</v>
      </c>
      <c r="F262" s="2">
        <v>88</v>
      </c>
      <c r="G262" s="2" t="str">
        <f t="shared" si="8"/>
        <v>Pass</v>
      </c>
      <c r="H262" s="2" t="str" cm="1">
        <f t="array" ref="H262">_xlfn.IFS(F262&gt;=85,"Distinction",F262&gt;=60,"Pass",F262&lt;60,"Fail" )</f>
        <v>Distinction</v>
      </c>
      <c r="I262" s="2" t="str">
        <f t="shared" si="9"/>
        <v>OK</v>
      </c>
    </row>
    <row r="263" spans="1:9" x14ac:dyDescent="0.3">
      <c r="A263" s="2" t="s">
        <v>174</v>
      </c>
      <c r="B263" s="2" t="s">
        <v>175</v>
      </c>
      <c r="C263" s="2" t="s">
        <v>31</v>
      </c>
      <c r="D263" s="2">
        <v>97</v>
      </c>
      <c r="E263" s="2">
        <v>91</v>
      </c>
      <c r="F263" s="2">
        <v>85</v>
      </c>
      <c r="G263" s="2" t="str">
        <f t="shared" si="8"/>
        <v>Pass</v>
      </c>
      <c r="H263" s="2" t="str" cm="1">
        <f t="array" ref="H263">_xlfn.IFS(F263&gt;=85,"Distinction",F263&gt;=60,"Pass",F263&lt;60,"Fail" )</f>
        <v>Distinction</v>
      </c>
      <c r="I263" s="2" t="str">
        <f t="shared" si="9"/>
        <v>OK</v>
      </c>
    </row>
    <row r="264" spans="1:9" x14ac:dyDescent="0.3">
      <c r="A264" s="2" t="s">
        <v>184</v>
      </c>
      <c r="B264" s="2" t="s">
        <v>185</v>
      </c>
      <c r="C264" s="2" t="s">
        <v>17</v>
      </c>
      <c r="D264" s="2">
        <v>89</v>
      </c>
      <c r="E264" s="2">
        <v>87</v>
      </c>
      <c r="F264" s="2">
        <v>51</v>
      </c>
      <c r="G264" s="2" t="str">
        <f t="shared" si="8"/>
        <v>Pass</v>
      </c>
      <c r="H264" s="2" t="str" cm="1">
        <f t="array" ref="H264">_xlfn.IFS(F264&gt;=85,"Distinction",F264&gt;=60,"Pass",F264&lt;60,"Fail" )</f>
        <v>Fail</v>
      </c>
      <c r="I264" s="2" t="str">
        <f t="shared" si="9"/>
        <v>OK</v>
      </c>
    </row>
    <row r="265" spans="1:9" x14ac:dyDescent="0.3">
      <c r="A265" s="2" t="s">
        <v>190</v>
      </c>
      <c r="B265" s="2" t="s">
        <v>191</v>
      </c>
      <c r="C265" s="2" t="s">
        <v>14</v>
      </c>
      <c r="D265" s="2">
        <v>94</v>
      </c>
      <c r="E265" s="2">
        <v>77</v>
      </c>
      <c r="F265" s="2">
        <v>99</v>
      </c>
      <c r="G265" s="2" t="str">
        <f t="shared" si="8"/>
        <v>Pass</v>
      </c>
      <c r="H265" s="2" t="str" cm="1">
        <f t="array" ref="H265">_xlfn.IFS(F265&gt;=85,"Distinction",F265&gt;=60,"Pass",F265&lt;60,"Fail" )</f>
        <v>Distinction</v>
      </c>
      <c r="I265" s="2" t="str">
        <f t="shared" si="9"/>
        <v>OK</v>
      </c>
    </row>
    <row r="266" spans="1:9" x14ac:dyDescent="0.3">
      <c r="A266" s="2" t="s">
        <v>194</v>
      </c>
      <c r="B266" s="2" t="s">
        <v>195</v>
      </c>
      <c r="C266" s="2" t="s">
        <v>14</v>
      </c>
      <c r="D266" s="2">
        <v>96</v>
      </c>
      <c r="E266" s="2">
        <v>45</v>
      </c>
      <c r="F266" s="2">
        <v>91</v>
      </c>
      <c r="G266" s="2" t="str">
        <f t="shared" si="8"/>
        <v>Pass</v>
      </c>
      <c r="H266" s="2" t="str" cm="1">
        <f t="array" ref="H266">_xlfn.IFS(F266&gt;=85,"Distinction",F266&gt;=60,"Pass",F266&lt;60,"Fail" )</f>
        <v>Distinction</v>
      </c>
      <c r="I266" s="2" t="str">
        <f t="shared" si="9"/>
        <v>OK</v>
      </c>
    </row>
    <row r="267" spans="1:9" x14ac:dyDescent="0.3">
      <c r="A267" s="2" t="s">
        <v>198</v>
      </c>
      <c r="B267" s="2" t="s">
        <v>199</v>
      </c>
      <c r="C267" s="2" t="s">
        <v>11</v>
      </c>
      <c r="D267" s="2">
        <v>75</v>
      </c>
      <c r="E267" s="2">
        <v>93</v>
      </c>
      <c r="F267" s="2">
        <v>53</v>
      </c>
      <c r="G267" s="2" t="str">
        <f t="shared" si="8"/>
        <v>Pass</v>
      </c>
      <c r="H267" s="2" t="str" cm="1">
        <f t="array" ref="H267">_xlfn.IFS(F267&gt;=85,"Distinction",F267&gt;=60,"Pass",F267&lt;60,"Fail" )</f>
        <v>Fail</v>
      </c>
      <c r="I267" s="2" t="str">
        <f t="shared" si="9"/>
        <v>OK</v>
      </c>
    </row>
    <row r="268" spans="1:9" x14ac:dyDescent="0.3">
      <c r="A268" s="2" t="s">
        <v>206</v>
      </c>
      <c r="B268" s="2" t="s">
        <v>207</v>
      </c>
      <c r="C268" s="2" t="s">
        <v>26</v>
      </c>
      <c r="D268" s="2">
        <v>78</v>
      </c>
      <c r="E268" s="2">
        <v>96</v>
      </c>
      <c r="F268" s="2">
        <v>60</v>
      </c>
      <c r="G268" s="2" t="str">
        <f t="shared" si="8"/>
        <v>Pass</v>
      </c>
      <c r="H268" s="2" t="str" cm="1">
        <f t="array" ref="H268">_xlfn.IFS(F268&gt;=85,"Distinction",F268&gt;=60,"Pass",F268&lt;60,"Fail" )</f>
        <v>Pass</v>
      </c>
      <c r="I268" s="2" t="str">
        <f t="shared" si="9"/>
        <v>OK</v>
      </c>
    </row>
    <row r="269" spans="1:9" x14ac:dyDescent="0.3">
      <c r="A269" s="2" t="s">
        <v>210</v>
      </c>
      <c r="B269" s="2" t="s">
        <v>211</v>
      </c>
      <c r="C269" s="2" t="s">
        <v>26</v>
      </c>
      <c r="D269" s="2">
        <v>94</v>
      </c>
      <c r="E269" s="2">
        <v>45</v>
      </c>
      <c r="F269" s="2">
        <v>65</v>
      </c>
      <c r="G269" s="2" t="str">
        <f t="shared" si="8"/>
        <v>Pass</v>
      </c>
      <c r="H269" s="2" t="str" cm="1">
        <f t="array" ref="H269">_xlfn.IFS(F269&gt;=85,"Distinction",F269&gt;=60,"Pass",F269&lt;60,"Fail" )</f>
        <v>Pass</v>
      </c>
      <c r="I269" s="2" t="str">
        <f t="shared" si="9"/>
        <v>OK</v>
      </c>
    </row>
    <row r="270" spans="1:9" x14ac:dyDescent="0.3">
      <c r="A270" s="2" t="s">
        <v>224</v>
      </c>
      <c r="B270" s="2" t="s">
        <v>225</v>
      </c>
      <c r="C270" s="2" t="s">
        <v>11</v>
      </c>
      <c r="D270" s="2">
        <v>93</v>
      </c>
      <c r="E270" s="2">
        <v>98</v>
      </c>
      <c r="F270" s="2">
        <v>91</v>
      </c>
      <c r="G270" s="2" t="str">
        <f t="shared" si="8"/>
        <v>Pass</v>
      </c>
      <c r="H270" s="2" t="str" cm="1">
        <f t="array" ref="H270">_xlfn.IFS(F270&gt;=85,"Distinction",F270&gt;=60,"Pass",F270&lt;60,"Fail" )</f>
        <v>Distinction</v>
      </c>
      <c r="I270" s="2" t="str">
        <f t="shared" si="9"/>
        <v>OK</v>
      </c>
    </row>
    <row r="271" spans="1:9" x14ac:dyDescent="0.3">
      <c r="A271" s="2" t="s">
        <v>232</v>
      </c>
      <c r="B271" s="2" t="s">
        <v>233</v>
      </c>
      <c r="C271" s="2" t="s">
        <v>26</v>
      </c>
      <c r="D271" s="2">
        <v>100</v>
      </c>
      <c r="E271" s="2">
        <v>62</v>
      </c>
      <c r="F271" s="2">
        <v>55</v>
      </c>
      <c r="G271" s="2" t="str">
        <f t="shared" si="8"/>
        <v>Pass</v>
      </c>
      <c r="H271" s="2" t="str" cm="1">
        <f t="array" ref="H271">_xlfn.IFS(F271&gt;=85,"Distinction",F271&gt;=60,"Pass",F271&lt;60,"Fail" )</f>
        <v>Fail</v>
      </c>
      <c r="I271" s="2" t="str">
        <f t="shared" si="9"/>
        <v>OK</v>
      </c>
    </row>
    <row r="272" spans="1:9" x14ac:dyDescent="0.3">
      <c r="A272" s="2" t="s">
        <v>238</v>
      </c>
      <c r="B272" s="2" t="s">
        <v>239</v>
      </c>
      <c r="C272" s="2" t="s">
        <v>31</v>
      </c>
      <c r="D272" s="2">
        <v>84</v>
      </c>
      <c r="E272" s="2">
        <v>98</v>
      </c>
      <c r="F272" s="2">
        <v>73</v>
      </c>
      <c r="G272" s="2" t="str">
        <f t="shared" si="8"/>
        <v>Pass</v>
      </c>
      <c r="H272" s="2" t="str" cm="1">
        <f t="array" ref="H272">_xlfn.IFS(F272&gt;=85,"Distinction",F272&gt;=60,"Pass",F272&lt;60,"Fail" )</f>
        <v>Pass</v>
      </c>
      <c r="I272" s="2" t="str">
        <f t="shared" si="9"/>
        <v>OK</v>
      </c>
    </row>
    <row r="273" spans="1:9" x14ac:dyDescent="0.3">
      <c r="A273" s="2" t="s">
        <v>242</v>
      </c>
      <c r="B273" s="2" t="s">
        <v>243</v>
      </c>
      <c r="C273" s="2" t="s">
        <v>26</v>
      </c>
      <c r="D273" s="2">
        <v>82</v>
      </c>
      <c r="E273" s="2">
        <v>81</v>
      </c>
      <c r="F273" s="2">
        <v>99</v>
      </c>
      <c r="G273" s="2" t="str">
        <f t="shared" si="8"/>
        <v>Pass</v>
      </c>
      <c r="H273" s="2" t="str" cm="1">
        <f t="array" ref="H273">_xlfn.IFS(F273&gt;=85,"Distinction",F273&gt;=60,"Pass",F273&lt;60,"Fail" )</f>
        <v>Distinction</v>
      </c>
      <c r="I273" s="2" t="str">
        <f t="shared" si="9"/>
        <v>OK</v>
      </c>
    </row>
    <row r="274" spans="1:9" x14ac:dyDescent="0.3">
      <c r="A274" s="2" t="s">
        <v>246</v>
      </c>
      <c r="B274" s="2" t="s">
        <v>247</v>
      </c>
      <c r="C274" s="2" t="s">
        <v>17</v>
      </c>
      <c r="D274" s="2">
        <v>91</v>
      </c>
      <c r="E274" s="2">
        <v>48</v>
      </c>
      <c r="F274" s="2">
        <v>97</v>
      </c>
      <c r="G274" s="2" t="str">
        <f t="shared" si="8"/>
        <v>Pass</v>
      </c>
      <c r="H274" s="2" t="str" cm="1">
        <f t="array" ref="H274">_xlfn.IFS(F274&gt;=85,"Distinction",F274&gt;=60,"Pass",F274&lt;60,"Fail" )</f>
        <v>Distinction</v>
      </c>
      <c r="I274" s="2" t="str">
        <f t="shared" si="9"/>
        <v>OK</v>
      </c>
    </row>
    <row r="275" spans="1:9" x14ac:dyDescent="0.3">
      <c r="A275" s="2" t="s">
        <v>262</v>
      </c>
      <c r="B275" s="2" t="s">
        <v>263</v>
      </c>
      <c r="C275" s="2" t="s">
        <v>14</v>
      </c>
      <c r="D275" s="2">
        <v>83</v>
      </c>
      <c r="E275" s="2">
        <v>61</v>
      </c>
      <c r="F275" s="2">
        <v>67</v>
      </c>
      <c r="G275" s="2" t="str">
        <f t="shared" si="8"/>
        <v>Pass</v>
      </c>
      <c r="H275" s="2" t="str" cm="1">
        <f t="array" ref="H275">_xlfn.IFS(F275&gt;=85,"Distinction",F275&gt;=60,"Pass",F275&lt;60,"Fail" )</f>
        <v>Pass</v>
      </c>
      <c r="I275" s="2" t="str">
        <f t="shared" si="9"/>
        <v>OK</v>
      </c>
    </row>
    <row r="276" spans="1:9" x14ac:dyDescent="0.3">
      <c r="A276" s="2" t="s">
        <v>264</v>
      </c>
      <c r="B276" s="2" t="s">
        <v>265</v>
      </c>
      <c r="C276" s="2" t="s">
        <v>17</v>
      </c>
      <c r="D276" s="2">
        <v>82</v>
      </c>
      <c r="E276" s="2">
        <v>53</v>
      </c>
      <c r="F276" s="2">
        <v>66</v>
      </c>
      <c r="G276" s="2" t="str">
        <f t="shared" si="8"/>
        <v>Pass</v>
      </c>
      <c r="H276" s="2" t="str" cm="1">
        <f t="array" ref="H276">_xlfn.IFS(F276&gt;=85,"Distinction",F276&gt;=60,"Pass",F276&lt;60,"Fail" )</f>
        <v>Pass</v>
      </c>
      <c r="I276" s="2" t="str">
        <f t="shared" si="9"/>
        <v>OK</v>
      </c>
    </row>
    <row r="277" spans="1:9" x14ac:dyDescent="0.3">
      <c r="A277" s="2" t="s">
        <v>274</v>
      </c>
      <c r="B277" s="2" t="s">
        <v>275</v>
      </c>
      <c r="C277" s="2" t="s">
        <v>17</v>
      </c>
      <c r="D277" s="2">
        <v>84</v>
      </c>
      <c r="E277" s="2">
        <v>62</v>
      </c>
      <c r="F277" s="2">
        <v>79</v>
      </c>
      <c r="G277" s="2" t="str">
        <f t="shared" si="8"/>
        <v>Pass</v>
      </c>
      <c r="H277" s="2" t="str" cm="1">
        <f t="array" ref="H277">_xlfn.IFS(F277&gt;=85,"Distinction",F277&gt;=60,"Pass",F277&lt;60,"Fail" )</f>
        <v>Pass</v>
      </c>
      <c r="I277" s="2" t="str">
        <f t="shared" si="9"/>
        <v>OK</v>
      </c>
    </row>
    <row r="278" spans="1:9" x14ac:dyDescent="0.3">
      <c r="A278" s="2" t="s">
        <v>284</v>
      </c>
      <c r="B278" s="2" t="s">
        <v>285</v>
      </c>
      <c r="C278" s="2" t="s">
        <v>31</v>
      </c>
      <c r="D278" s="2">
        <v>84</v>
      </c>
      <c r="E278" s="2">
        <v>96</v>
      </c>
      <c r="F278" s="2">
        <v>73</v>
      </c>
      <c r="G278" s="2" t="str">
        <f t="shared" si="8"/>
        <v>Pass</v>
      </c>
      <c r="H278" s="2" t="str" cm="1">
        <f t="array" ref="H278">_xlfn.IFS(F278&gt;=85,"Distinction",F278&gt;=60,"Pass",F278&lt;60,"Fail" )</f>
        <v>Pass</v>
      </c>
      <c r="I278" s="2" t="str">
        <f t="shared" si="9"/>
        <v>OK</v>
      </c>
    </row>
    <row r="279" spans="1:9" x14ac:dyDescent="0.3">
      <c r="A279" s="2" t="s">
        <v>290</v>
      </c>
      <c r="B279" s="2" t="s">
        <v>291</v>
      </c>
      <c r="C279" s="2" t="s">
        <v>11</v>
      </c>
      <c r="D279" s="2">
        <v>86</v>
      </c>
      <c r="E279" s="2">
        <v>69</v>
      </c>
      <c r="F279" s="2">
        <v>69</v>
      </c>
      <c r="G279" s="2" t="str">
        <f t="shared" si="8"/>
        <v>Pass</v>
      </c>
      <c r="H279" s="2" t="str" cm="1">
        <f t="array" ref="H279">_xlfn.IFS(F279&gt;=85,"Distinction",F279&gt;=60,"Pass",F279&lt;60,"Fail" )</f>
        <v>Pass</v>
      </c>
      <c r="I279" s="2" t="str">
        <f t="shared" si="9"/>
        <v>OK</v>
      </c>
    </row>
    <row r="280" spans="1:9" x14ac:dyDescent="0.3">
      <c r="A280" s="2" t="s">
        <v>306</v>
      </c>
      <c r="B280" s="2" t="s">
        <v>307</v>
      </c>
      <c r="C280" s="2" t="s">
        <v>31</v>
      </c>
      <c r="D280" s="2">
        <v>88</v>
      </c>
      <c r="E280" s="2">
        <v>64</v>
      </c>
      <c r="F280" s="2">
        <v>67</v>
      </c>
      <c r="G280" s="2" t="str">
        <f t="shared" si="8"/>
        <v>Pass</v>
      </c>
      <c r="H280" s="2" t="str" cm="1">
        <f t="array" ref="H280">_xlfn.IFS(F280&gt;=85,"Distinction",F280&gt;=60,"Pass",F280&lt;60,"Fail" )</f>
        <v>Pass</v>
      </c>
      <c r="I280" s="2" t="str">
        <f t="shared" si="9"/>
        <v>OK</v>
      </c>
    </row>
    <row r="281" spans="1:9" x14ac:dyDescent="0.3">
      <c r="A281" s="2" t="s">
        <v>308</v>
      </c>
      <c r="B281" s="2" t="s">
        <v>309</v>
      </c>
      <c r="C281" s="2" t="s">
        <v>11</v>
      </c>
      <c r="D281" s="2">
        <v>76</v>
      </c>
      <c r="E281" s="2">
        <v>37</v>
      </c>
      <c r="F281" s="2">
        <v>64</v>
      </c>
      <c r="G281" s="2" t="str">
        <f t="shared" si="8"/>
        <v>Pass</v>
      </c>
      <c r="H281" s="2" t="str" cm="1">
        <f t="array" ref="H281">_xlfn.IFS(F281&gt;=85,"Distinction",F281&gt;=60,"Pass",F281&lt;60,"Fail" )</f>
        <v>Pass</v>
      </c>
      <c r="I281" s="2" t="str">
        <f t="shared" si="9"/>
        <v>OK</v>
      </c>
    </row>
    <row r="282" spans="1:9" x14ac:dyDescent="0.3">
      <c r="A282" s="2" t="s">
        <v>316</v>
      </c>
      <c r="B282" s="2" t="s">
        <v>317</v>
      </c>
      <c r="C282" s="2" t="s">
        <v>11</v>
      </c>
      <c r="D282" s="2">
        <v>75</v>
      </c>
      <c r="E282" s="2">
        <v>97</v>
      </c>
      <c r="F282" s="2">
        <v>89</v>
      </c>
      <c r="G282" s="2" t="str">
        <f t="shared" si="8"/>
        <v>Pass</v>
      </c>
      <c r="H282" s="2" t="str" cm="1">
        <f t="array" ref="H282">_xlfn.IFS(F282&gt;=85,"Distinction",F282&gt;=60,"Pass",F282&lt;60,"Fail" )</f>
        <v>Distinction</v>
      </c>
      <c r="I282" s="2" t="str">
        <f t="shared" si="9"/>
        <v>OK</v>
      </c>
    </row>
    <row r="283" spans="1:9" x14ac:dyDescent="0.3">
      <c r="A283" s="2" t="s">
        <v>318</v>
      </c>
      <c r="B283" s="2" t="s">
        <v>319</v>
      </c>
      <c r="C283" s="2" t="s">
        <v>31</v>
      </c>
      <c r="D283" s="2">
        <v>91</v>
      </c>
      <c r="E283" s="2">
        <v>87</v>
      </c>
      <c r="F283" s="2">
        <v>79</v>
      </c>
      <c r="G283" s="2" t="str">
        <f t="shared" si="8"/>
        <v>Pass</v>
      </c>
      <c r="H283" s="2" t="str" cm="1">
        <f t="array" ref="H283">_xlfn.IFS(F283&gt;=85,"Distinction",F283&gt;=60,"Pass",F283&lt;60,"Fail" )</f>
        <v>Pass</v>
      </c>
      <c r="I283" s="2" t="str">
        <f t="shared" si="9"/>
        <v>OK</v>
      </c>
    </row>
    <row r="284" spans="1:9" x14ac:dyDescent="0.3">
      <c r="A284" s="2" t="s">
        <v>322</v>
      </c>
      <c r="B284" s="2" t="s">
        <v>323</v>
      </c>
      <c r="C284" s="2" t="s">
        <v>14</v>
      </c>
      <c r="D284" s="2">
        <v>100</v>
      </c>
      <c r="E284" s="2">
        <v>65</v>
      </c>
      <c r="F284" s="2">
        <v>63</v>
      </c>
      <c r="G284" s="2" t="str">
        <f t="shared" si="8"/>
        <v>Pass</v>
      </c>
      <c r="H284" s="2" t="str" cm="1">
        <f t="array" ref="H284">_xlfn.IFS(F284&gt;=85,"Distinction",F284&gt;=60,"Pass",F284&lt;60,"Fail" )</f>
        <v>Pass</v>
      </c>
      <c r="I284" s="2" t="str">
        <f t="shared" si="9"/>
        <v>OK</v>
      </c>
    </row>
    <row r="285" spans="1:9" x14ac:dyDescent="0.3">
      <c r="A285" s="2" t="s">
        <v>324</v>
      </c>
      <c r="B285" s="2" t="s">
        <v>325</v>
      </c>
      <c r="C285" s="2" t="s">
        <v>17</v>
      </c>
      <c r="D285" s="2">
        <v>81</v>
      </c>
      <c r="E285" s="2">
        <v>50</v>
      </c>
      <c r="F285" s="2">
        <v>64</v>
      </c>
      <c r="G285" s="2" t="str">
        <f t="shared" si="8"/>
        <v>Pass</v>
      </c>
      <c r="H285" s="2" t="str" cm="1">
        <f t="array" ref="H285">_xlfn.IFS(F285&gt;=85,"Distinction",F285&gt;=60,"Pass",F285&lt;60,"Fail" )</f>
        <v>Pass</v>
      </c>
      <c r="I285" s="2" t="str">
        <f t="shared" si="9"/>
        <v>OK</v>
      </c>
    </row>
    <row r="286" spans="1:9" x14ac:dyDescent="0.3">
      <c r="A286" s="2" t="s">
        <v>328</v>
      </c>
      <c r="B286" s="2" t="s">
        <v>329</v>
      </c>
      <c r="C286" s="2" t="s">
        <v>31</v>
      </c>
      <c r="D286" s="2">
        <v>98</v>
      </c>
      <c r="E286" s="2">
        <v>39</v>
      </c>
      <c r="F286" s="2">
        <v>69</v>
      </c>
      <c r="G286" s="2" t="str">
        <f t="shared" si="8"/>
        <v>Pass</v>
      </c>
      <c r="H286" s="2" t="str" cm="1">
        <f t="array" ref="H286">_xlfn.IFS(F286&gt;=85,"Distinction",F286&gt;=60,"Pass",F286&lt;60,"Fail" )</f>
        <v>Pass</v>
      </c>
      <c r="I286" s="2" t="str">
        <f t="shared" si="9"/>
        <v>OK</v>
      </c>
    </row>
    <row r="287" spans="1:9" x14ac:dyDescent="0.3">
      <c r="A287" s="2" t="s">
        <v>330</v>
      </c>
      <c r="B287" s="2" t="s">
        <v>331</v>
      </c>
      <c r="C287" s="2" t="s">
        <v>17</v>
      </c>
      <c r="D287" s="2">
        <v>81</v>
      </c>
      <c r="E287" s="2">
        <v>53</v>
      </c>
      <c r="F287" s="2">
        <v>93</v>
      </c>
      <c r="G287" s="2" t="str">
        <f t="shared" si="8"/>
        <v>Pass</v>
      </c>
      <c r="H287" s="2" t="str" cm="1">
        <f t="array" ref="H287">_xlfn.IFS(F287&gt;=85,"Distinction",F287&gt;=60,"Pass",F287&lt;60,"Fail" )</f>
        <v>Distinction</v>
      </c>
      <c r="I287" s="2" t="str">
        <f t="shared" si="9"/>
        <v>OK</v>
      </c>
    </row>
    <row r="288" spans="1:9" x14ac:dyDescent="0.3">
      <c r="A288" s="2" t="s">
        <v>334</v>
      </c>
      <c r="B288" s="2" t="s">
        <v>335</v>
      </c>
      <c r="C288" s="2" t="s">
        <v>14</v>
      </c>
      <c r="D288" s="2">
        <v>79</v>
      </c>
      <c r="E288" s="2">
        <v>78</v>
      </c>
      <c r="F288" s="2">
        <v>89</v>
      </c>
      <c r="G288" s="2" t="str">
        <f t="shared" si="8"/>
        <v>Pass</v>
      </c>
      <c r="H288" s="2" t="str" cm="1">
        <f t="array" ref="H288">_xlfn.IFS(F288&gt;=85,"Distinction",F288&gt;=60,"Pass",F288&lt;60,"Fail" )</f>
        <v>Distinction</v>
      </c>
      <c r="I288" s="2" t="str">
        <f t="shared" si="9"/>
        <v>OK</v>
      </c>
    </row>
    <row r="289" spans="1:9" x14ac:dyDescent="0.3">
      <c r="A289" s="2" t="s">
        <v>336</v>
      </c>
      <c r="B289" s="2" t="s">
        <v>337</v>
      </c>
      <c r="C289" s="2" t="s">
        <v>11</v>
      </c>
      <c r="D289" s="2">
        <v>86</v>
      </c>
      <c r="E289" s="2">
        <v>65</v>
      </c>
      <c r="F289" s="2">
        <v>93</v>
      </c>
      <c r="G289" s="2" t="str">
        <f t="shared" si="8"/>
        <v>Pass</v>
      </c>
      <c r="H289" s="2" t="str" cm="1">
        <f t="array" ref="H289">_xlfn.IFS(F289&gt;=85,"Distinction",F289&gt;=60,"Pass",F289&lt;60,"Fail" )</f>
        <v>Distinction</v>
      </c>
      <c r="I289" s="2" t="str">
        <f t="shared" si="9"/>
        <v>OK</v>
      </c>
    </row>
    <row r="290" spans="1:9" x14ac:dyDescent="0.3">
      <c r="A290" s="2" t="s">
        <v>342</v>
      </c>
      <c r="B290" s="2" t="s">
        <v>343</v>
      </c>
      <c r="C290" s="2" t="s">
        <v>26</v>
      </c>
      <c r="D290" s="2">
        <v>94</v>
      </c>
      <c r="E290" s="2">
        <v>91</v>
      </c>
      <c r="F290" s="2">
        <v>89</v>
      </c>
      <c r="G290" s="2" t="str">
        <f t="shared" si="8"/>
        <v>Pass</v>
      </c>
      <c r="H290" s="2" t="str" cm="1">
        <f t="array" ref="H290">_xlfn.IFS(F290&gt;=85,"Distinction",F290&gt;=60,"Pass",F290&lt;60,"Fail" )</f>
        <v>Distinction</v>
      </c>
      <c r="I290" s="2" t="str">
        <f t="shared" si="9"/>
        <v>OK</v>
      </c>
    </row>
    <row r="291" spans="1:9" x14ac:dyDescent="0.3">
      <c r="A291" s="2" t="s">
        <v>346</v>
      </c>
      <c r="B291" s="2" t="s">
        <v>347</v>
      </c>
      <c r="C291" s="2" t="s">
        <v>17</v>
      </c>
      <c r="D291" s="2">
        <v>92</v>
      </c>
      <c r="E291" s="2">
        <v>41</v>
      </c>
      <c r="F291" s="2">
        <v>64</v>
      </c>
      <c r="G291" s="2" t="str">
        <f t="shared" si="8"/>
        <v>Pass</v>
      </c>
      <c r="H291" s="2" t="str" cm="1">
        <f t="array" ref="H291">_xlfn.IFS(F291&gt;=85,"Distinction",F291&gt;=60,"Pass",F291&lt;60,"Fail" )</f>
        <v>Pass</v>
      </c>
      <c r="I291" s="2" t="str">
        <f t="shared" si="9"/>
        <v>OK</v>
      </c>
    </row>
    <row r="292" spans="1:9" x14ac:dyDescent="0.3">
      <c r="A292" s="2" t="s">
        <v>348</v>
      </c>
      <c r="B292" s="2" t="s">
        <v>349</v>
      </c>
      <c r="C292" s="2" t="s">
        <v>11</v>
      </c>
      <c r="D292" s="2">
        <v>78</v>
      </c>
      <c r="E292" s="2">
        <v>84</v>
      </c>
      <c r="F292" s="2">
        <v>66</v>
      </c>
      <c r="G292" s="2" t="str">
        <f t="shared" si="8"/>
        <v>Pass</v>
      </c>
      <c r="H292" s="2" t="str" cm="1">
        <f t="array" ref="H292">_xlfn.IFS(F292&gt;=85,"Distinction",F292&gt;=60,"Pass",F292&lt;60,"Fail" )</f>
        <v>Pass</v>
      </c>
      <c r="I292" s="2" t="str">
        <f t="shared" si="9"/>
        <v>OK</v>
      </c>
    </row>
    <row r="293" spans="1:9" x14ac:dyDescent="0.3">
      <c r="A293" s="2" t="s">
        <v>354</v>
      </c>
      <c r="B293" s="2" t="s">
        <v>355</v>
      </c>
      <c r="C293" s="2" t="s">
        <v>26</v>
      </c>
      <c r="D293" s="2">
        <v>81</v>
      </c>
      <c r="E293" s="2">
        <v>59</v>
      </c>
      <c r="F293" s="2">
        <v>91</v>
      </c>
      <c r="G293" s="2" t="str">
        <f t="shared" si="8"/>
        <v>Pass</v>
      </c>
      <c r="H293" s="2" t="str" cm="1">
        <f t="array" ref="H293">_xlfn.IFS(F293&gt;=85,"Distinction",F293&gt;=60,"Pass",F293&lt;60,"Fail" )</f>
        <v>Distinction</v>
      </c>
      <c r="I293" s="2" t="str">
        <f t="shared" si="9"/>
        <v>OK</v>
      </c>
    </row>
    <row r="294" spans="1:9" x14ac:dyDescent="0.3">
      <c r="A294" s="2" t="s">
        <v>358</v>
      </c>
      <c r="B294" s="2" t="s">
        <v>359</v>
      </c>
      <c r="C294" s="2" t="s">
        <v>31</v>
      </c>
      <c r="D294" s="2">
        <v>100</v>
      </c>
      <c r="E294" s="2">
        <v>91</v>
      </c>
      <c r="F294" s="2">
        <v>71</v>
      </c>
      <c r="G294" s="2" t="str">
        <f t="shared" si="8"/>
        <v>Pass</v>
      </c>
      <c r="H294" s="2" t="str" cm="1">
        <f t="array" ref="H294">_xlfn.IFS(F294&gt;=85,"Distinction",F294&gt;=60,"Pass",F294&lt;60,"Fail" )</f>
        <v>Pass</v>
      </c>
      <c r="I294" s="2" t="str">
        <f t="shared" si="9"/>
        <v>OK</v>
      </c>
    </row>
    <row r="295" spans="1:9" x14ac:dyDescent="0.3">
      <c r="A295" s="2" t="s">
        <v>362</v>
      </c>
      <c r="B295" s="2" t="s">
        <v>363</v>
      </c>
      <c r="C295" s="2" t="s">
        <v>26</v>
      </c>
      <c r="D295" s="2">
        <v>77</v>
      </c>
      <c r="E295" s="2">
        <v>88</v>
      </c>
      <c r="F295" s="2">
        <v>69</v>
      </c>
      <c r="G295" s="2" t="str">
        <f t="shared" si="8"/>
        <v>Pass</v>
      </c>
      <c r="H295" s="2" t="str" cm="1">
        <f t="array" ref="H295">_xlfn.IFS(F295&gt;=85,"Distinction",F295&gt;=60,"Pass",F295&lt;60,"Fail" )</f>
        <v>Pass</v>
      </c>
      <c r="I295" s="2" t="str">
        <f t="shared" si="9"/>
        <v>OK</v>
      </c>
    </row>
    <row r="296" spans="1:9" x14ac:dyDescent="0.3">
      <c r="A296" s="2" t="s">
        <v>368</v>
      </c>
      <c r="B296" s="2" t="s">
        <v>369</v>
      </c>
      <c r="C296" s="2" t="s">
        <v>31</v>
      </c>
      <c r="D296" s="2">
        <v>94</v>
      </c>
      <c r="E296" s="2">
        <v>41</v>
      </c>
      <c r="F296" s="2">
        <v>61</v>
      </c>
      <c r="G296" s="2" t="str">
        <f t="shared" si="8"/>
        <v>Pass</v>
      </c>
      <c r="H296" s="2" t="str" cm="1">
        <f t="array" ref="H296">_xlfn.IFS(F296&gt;=85,"Distinction",F296&gt;=60,"Pass",F296&lt;60,"Fail" )</f>
        <v>Pass</v>
      </c>
      <c r="I296" s="2" t="str">
        <f t="shared" si="9"/>
        <v>OK</v>
      </c>
    </row>
    <row r="297" spans="1:9" x14ac:dyDescent="0.3">
      <c r="A297" s="2" t="s">
        <v>372</v>
      </c>
      <c r="B297" s="2" t="s">
        <v>373</v>
      </c>
      <c r="C297" s="2" t="s">
        <v>31</v>
      </c>
      <c r="D297" s="2">
        <v>77</v>
      </c>
      <c r="E297" s="2">
        <v>48</v>
      </c>
      <c r="F297" s="2">
        <v>67</v>
      </c>
      <c r="G297" s="2" t="str">
        <f t="shared" si="8"/>
        <v>Pass</v>
      </c>
      <c r="H297" s="2" t="str" cm="1">
        <f t="array" ref="H297">_xlfn.IFS(F297&gt;=85,"Distinction",F297&gt;=60,"Pass",F297&lt;60,"Fail" )</f>
        <v>Pass</v>
      </c>
      <c r="I297" s="2" t="str">
        <f t="shared" si="9"/>
        <v>OK</v>
      </c>
    </row>
    <row r="298" spans="1:9" x14ac:dyDescent="0.3">
      <c r="A298" s="2" t="s">
        <v>374</v>
      </c>
      <c r="B298" s="2" t="s">
        <v>375</v>
      </c>
      <c r="C298" s="2" t="s">
        <v>11</v>
      </c>
      <c r="D298" s="2">
        <v>77</v>
      </c>
      <c r="E298" s="2">
        <v>38</v>
      </c>
      <c r="F298" s="2">
        <v>52</v>
      </c>
      <c r="G298" s="2" t="str">
        <f t="shared" si="8"/>
        <v>Pass</v>
      </c>
      <c r="H298" s="2" t="str" cm="1">
        <f t="array" ref="H298">_xlfn.IFS(F298&gt;=85,"Distinction",F298&gt;=60,"Pass",F298&lt;60,"Fail" )</f>
        <v>Fail</v>
      </c>
      <c r="I298" s="2" t="str">
        <f t="shared" si="9"/>
        <v>OK</v>
      </c>
    </row>
    <row r="299" spans="1:9" x14ac:dyDescent="0.3">
      <c r="A299" s="2" t="s">
        <v>376</v>
      </c>
      <c r="B299" s="2" t="s">
        <v>377</v>
      </c>
      <c r="C299" s="2" t="s">
        <v>11</v>
      </c>
      <c r="D299" s="2">
        <v>93</v>
      </c>
      <c r="E299" s="2">
        <v>100</v>
      </c>
      <c r="F299" s="2">
        <v>92</v>
      </c>
      <c r="G299" s="2" t="str">
        <f t="shared" si="8"/>
        <v>Pass</v>
      </c>
      <c r="H299" s="2" t="str" cm="1">
        <f t="array" ref="H299">_xlfn.IFS(F299&gt;=85,"Distinction",F299&gt;=60,"Pass",F299&lt;60,"Fail" )</f>
        <v>Distinction</v>
      </c>
      <c r="I299" s="2" t="str">
        <f t="shared" si="9"/>
        <v>OK</v>
      </c>
    </row>
    <row r="300" spans="1:9" x14ac:dyDescent="0.3">
      <c r="A300" s="2" t="s">
        <v>386</v>
      </c>
      <c r="B300" s="2" t="s">
        <v>387</v>
      </c>
      <c r="C300" s="2" t="s">
        <v>26</v>
      </c>
      <c r="D300" s="2">
        <v>77</v>
      </c>
      <c r="E300" s="2">
        <v>41</v>
      </c>
      <c r="F300" s="2">
        <v>82</v>
      </c>
      <c r="G300" s="2" t="str">
        <f t="shared" si="8"/>
        <v>Pass</v>
      </c>
      <c r="H300" s="2" t="str" cm="1">
        <f t="array" ref="H300">_xlfn.IFS(F300&gt;=85,"Distinction",F300&gt;=60,"Pass",F300&lt;60,"Fail" )</f>
        <v>Pass</v>
      </c>
      <c r="I300" s="2" t="str">
        <f t="shared" si="9"/>
        <v>OK</v>
      </c>
    </row>
    <row r="301" spans="1:9" x14ac:dyDescent="0.3">
      <c r="A301" s="2" t="s">
        <v>390</v>
      </c>
      <c r="B301" s="2" t="s">
        <v>391</v>
      </c>
      <c r="C301" s="2" t="s">
        <v>14</v>
      </c>
      <c r="D301" s="2">
        <v>88</v>
      </c>
      <c r="E301" s="2">
        <v>81</v>
      </c>
      <c r="F301" s="2">
        <v>68</v>
      </c>
      <c r="G301" s="2" t="str">
        <f t="shared" si="8"/>
        <v>Pass</v>
      </c>
      <c r="H301" s="2" t="str" cm="1">
        <f t="array" ref="H301">_xlfn.IFS(F301&gt;=85,"Distinction",F301&gt;=60,"Pass",F301&lt;60,"Fail" )</f>
        <v>Pass</v>
      </c>
      <c r="I301" s="2" t="str">
        <f t="shared" si="9"/>
        <v>OK</v>
      </c>
    </row>
    <row r="302" spans="1:9" x14ac:dyDescent="0.3">
      <c r="A302" s="2" t="s">
        <v>392</v>
      </c>
      <c r="B302" s="2" t="s">
        <v>393</v>
      </c>
      <c r="C302" s="2" t="s">
        <v>31</v>
      </c>
      <c r="D302" s="2">
        <v>82</v>
      </c>
      <c r="E302" s="2">
        <v>82</v>
      </c>
      <c r="F302" s="2">
        <v>80</v>
      </c>
      <c r="G302" s="2" t="str">
        <f t="shared" si="8"/>
        <v>Pass</v>
      </c>
      <c r="H302" s="2" t="str" cm="1">
        <f t="array" ref="H302">_xlfn.IFS(F302&gt;=85,"Distinction",F302&gt;=60,"Pass",F302&lt;60,"Fail" )</f>
        <v>Pass</v>
      </c>
      <c r="I302" s="2" t="str">
        <f t="shared" si="9"/>
        <v>OK</v>
      </c>
    </row>
    <row r="303" spans="1:9" x14ac:dyDescent="0.3">
      <c r="A303" s="2" t="s">
        <v>404</v>
      </c>
      <c r="B303" s="2" t="s">
        <v>405</v>
      </c>
      <c r="C303" s="2" t="s">
        <v>26</v>
      </c>
      <c r="D303" s="2">
        <v>88</v>
      </c>
      <c r="E303" s="2">
        <v>71</v>
      </c>
      <c r="F303" s="2">
        <v>71</v>
      </c>
      <c r="G303" s="2" t="str">
        <f t="shared" si="8"/>
        <v>Pass</v>
      </c>
      <c r="H303" s="2" t="str" cm="1">
        <f t="array" ref="H303">_xlfn.IFS(F303&gt;=85,"Distinction",F303&gt;=60,"Pass",F303&lt;60,"Fail" )</f>
        <v>Pass</v>
      </c>
      <c r="I303" s="2" t="str">
        <f t="shared" si="9"/>
        <v>OK</v>
      </c>
    </row>
    <row r="304" spans="1:9" x14ac:dyDescent="0.3">
      <c r="A304" s="2" t="s">
        <v>410</v>
      </c>
      <c r="B304" s="2" t="s">
        <v>411</v>
      </c>
      <c r="C304" s="2" t="s">
        <v>26</v>
      </c>
      <c r="D304" s="2">
        <v>76</v>
      </c>
      <c r="E304" s="2">
        <v>43</v>
      </c>
      <c r="F304" s="2">
        <v>58</v>
      </c>
      <c r="G304" s="2" t="str">
        <f t="shared" si="8"/>
        <v>Pass</v>
      </c>
      <c r="H304" s="2" t="str" cm="1">
        <f t="array" ref="H304">_xlfn.IFS(F304&gt;=85,"Distinction",F304&gt;=60,"Pass",F304&lt;60,"Fail" )</f>
        <v>Fail</v>
      </c>
      <c r="I304" s="2" t="str">
        <f t="shared" si="9"/>
        <v>OK</v>
      </c>
    </row>
    <row r="305" spans="1:9" x14ac:dyDescent="0.3">
      <c r="A305" s="2" t="s">
        <v>414</v>
      </c>
      <c r="B305" s="2" t="s">
        <v>415</v>
      </c>
      <c r="C305" s="2" t="s">
        <v>26</v>
      </c>
      <c r="D305" s="2">
        <v>86</v>
      </c>
      <c r="E305" s="2">
        <v>64</v>
      </c>
      <c r="F305" s="2">
        <v>56</v>
      </c>
      <c r="G305" s="2" t="str">
        <f t="shared" si="8"/>
        <v>Pass</v>
      </c>
      <c r="H305" s="2" t="str" cm="1">
        <f t="array" ref="H305">_xlfn.IFS(F305&gt;=85,"Distinction",F305&gt;=60,"Pass",F305&lt;60,"Fail" )</f>
        <v>Fail</v>
      </c>
      <c r="I305" s="2" t="str">
        <f t="shared" si="9"/>
        <v>OK</v>
      </c>
    </row>
    <row r="306" spans="1:9" x14ac:dyDescent="0.3">
      <c r="A306" s="2" t="s">
        <v>416</v>
      </c>
      <c r="B306" s="2" t="s">
        <v>417</v>
      </c>
      <c r="C306" s="2" t="s">
        <v>26</v>
      </c>
      <c r="D306" s="2">
        <v>82</v>
      </c>
      <c r="E306" s="2">
        <v>47</v>
      </c>
      <c r="F306" s="2">
        <v>65</v>
      </c>
      <c r="G306" s="2" t="str">
        <f t="shared" si="8"/>
        <v>Pass</v>
      </c>
      <c r="H306" s="2" t="str" cm="1">
        <f t="array" ref="H306">_xlfn.IFS(F306&gt;=85,"Distinction",F306&gt;=60,"Pass",F306&lt;60,"Fail" )</f>
        <v>Pass</v>
      </c>
      <c r="I306" s="2" t="str">
        <f t="shared" si="9"/>
        <v>OK</v>
      </c>
    </row>
    <row r="307" spans="1:9" x14ac:dyDescent="0.3">
      <c r="A307" s="2" t="s">
        <v>418</v>
      </c>
      <c r="B307" s="2" t="s">
        <v>419</v>
      </c>
      <c r="C307" s="2" t="s">
        <v>26</v>
      </c>
      <c r="D307" s="2">
        <v>100</v>
      </c>
      <c r="E307" s="2">
        <v>38</v>
      </c>
      <c r="F307" s="2">
        <v>58</v>
      </c>
      <c r="G307" s="2" t="str">
        <f t="shared" si="8"/>
        <v>Pass</v>
      </c>
      <c r="H307" s="2" t="str" cm="1">
        <f t="array" ref="H307">_xlfn.IFS(F307&gt;=85,"Distinction",F307&gt;=60,"Pass",F307&lt;60,"Fail" )</f>
        <v>Fail</v>
      </c>
      <c r="I307" s="2" t="str">
        <f t="shared" si="9"/>
        <v>OK</v>
      </c>
    </row>
    <row r="308" spans="1:9" x14ac:dyDescent="0.3">
      <c r="A308" s="2" t="s">
        <v>420</v>
      </c>
      <c r="B308" s="2" t="s">
        <v>421</v>
      </c>
      <c r="C308" s="2" t="s">
        <v>14</v>
      </c>
      <c r="D308" s="2">
        <v>91</v>
      </c>
      <c r="E308" s="2">
        <v>87</v>
      </c>
      <c r="F308" s="2">
        <v>67</v>
      </c>
      <c r="G308" s="2" t="str">
        <f t="shared" si="8"/>
        <v>Pass</v>
      </c>
      <c r="H308" s="2" t="str" cm="1">
        <f t="array" ref="H308">_xlfn.IFS(F308&gt;=85,"Distinction",F308&gt;=60,"Pass",F308&lt;60,"Fail" )</f>
        <v>Pass</v>
      </c>
      <c r="I308" s="2" t="str">
        <f t="shared" si="9"/>
        <v>OK</v>
      </c>
    </row>
    <row r="309" spans="1:9" x14ac:dyDescent="0.3">
      <c r="A309" s="2" t="s">
        <v>422</v>
      </c>
      <c r="B309" s="2" t="s">
        <v>423</v>
      </c>
      <c r="C309" s="2" t="s">
        <v>31</v>
      </c>
      <c r="D309" s="2">
        <v>93</v>
      </c>
      <c r="E309" s="2">
        <v>46</v>
      </c>
      <c r="F309" s="2">
        <v>86</v>
      </c>
      <c r="G309" s="2" t="str">
        <f t="shared" si="8"/>
        <v>Pass</v>
      </c>
      <c r="H309" s="2" t="str" cm="1">
        <f t="array" ref="H309">_xlfn.IFS(F309&gt;=85,"Distinction",F309&gt;=60,"Pass",F309&lt;60,"Fail" )</f>
        <v>Distinction</v>
      </c>
      <c r="I309" s="2" t="str">
        <f t="shared" si="9"/>
        <v>OK</v>
      </c>
    </row>
    <row r="310" spans="1:9" x14ac:dyDescent="0.3">
      <c r="A310" s="2" t="s">
        <v>428</v>
      </c>
      <c r="B310" s="2" t="s">
        <v>429</v>
      </c>
      <c r="C310" s="2" t="s">
        <v>14</v>
      </c>
      <c r="D310" s="2">
        <v>81</v>
      </c>
      <c r="E310" s="2">
        <v>42</v>
      </c>
      <c r="F310" s="2">
        <v>62</v>
      </c>
      <c r="G310" s="2" t="str">
        <f t="shared" si="8"/>
        <v>Pass</v>
      </c>
      <c r="H310" s="2" t="str" cm="1">
        <f t="array" ref="H310">_xlfn.IFS(F310&gt;=85,"Distinction",F310&gt;=60,"Pass",F310&lt;60,"Fail" )</f>
        <v>Pass</v>
      </c>
      <c r="I310" s="2" t="str">
        <f t="shared" si="9"/>
        <v>OK</v>
      </c>
    </row>
    <row r="311" spans="1:9" x14ac:dyDescent="0.3">
      <c r="A311" s="2" t="s">
        <v>430</v>
      </c>
      <c r="B311" s="2" t="s">
        <v>431</v>
      </c>
      <c r="C311" s="2" t="s">
        <v>17</v>
      </c>
      <c r="D311" s="2">
        <v>81</v>
      </c>
      <c r="E311" s="2">
        <v>69</v>
      </c>
      <c r="F311" s="2">
        <v>97</v>
      </c>
      <c r="G311" s="2" t="str">
        <f t="shared" si="8"/>
        <v>Pass</v>
      </c>
      <c r="H311" s="2" t="str" cm="1">
        <f t="array" ref="H311">_xlfn.IFS(F311&gt;=85,"Distinction",F311&gt;=60,"Pass",F311&lt;60,"Fail" )</f>
        <v>Distinction</v>
      </c>
      <c r="I311" s="2" t="str">
        <f t="shared" si="9"/>
        <v>OK</v>
      </c>
    </row>
    <row r="312" spans="1:9" x14ac:dyDescent="0.3">
      <c r="A312" s="2" t="s">
        <v>438</v>
      </c>
      <c r="B312" s="2" t="s">
        <v>439</v>
      </c>
      <c r="C312" s="2" t="s">
        <v>31</v>
      </c>
      <c r="D312" s="2">
        <v>98</v>
      </c>
      <c r="E312" s="2">
        <v>56</v>
      </c>
      <c r="F312" s="2">
        <v>67</v>
      </c>
      <c r="G312" s="2" t="str">
        <f t="shared" si="8"/>
        <v>Pass</v>
      </c>
      <c r="H312" s="2" t="str" cm="1">
        <f t="array" ref="H312">_xlfn.IFS(F312&gt;=85,"Distinction",F312&gt;=60,"Pass",F312&lt;60,"Fail" )</f>
        <v>Pass</v>
      </c>
      <c r="I312" s="2" t="str">
        <f t="shared" si="9"/>
        <v>OK</v>
      </c>
    </row>
    <row r="313" spans="1:9" x14ac:dyDescent="0.3">
      <c r="A313" s="2" t="s">
        <v>442</v>
      </c>
      <c r="B313" s="2" t="s">
        <v>443</v>
      </c>
      <c r="C313" s="2" t="s">
        <v>26</v>
      </c>
      <c r="D313" s="2">
        <v>88</v>
      </c>
      <c r="E313" s="2">
        <v>34</v>
      </c>
      <c r="F313" s="2">
        <v>60</v>
      </c>
      <c r="G313" s="2" t="str">
        <f t="shared" si="8"/>
        <v>Pass</v>
      </c>
      <c r="H313" s="2" t="str" cm="1">
        <f t="array" ref="H313">_xlfn.IFS(F313&gt;=85,"Distinction",F313&gt;=60,"Pass",F313&lt;60,"Fail" )</f>
        <v>Pass</v>
      </c>
      <c r="I313" s="2" t="str">
        <f t="shared" si="9"/>
        <v>OK</v>
      </c>
    </row>
    <row r="314" spans="1:9" x14ac:dyDescent="0.3">
      <c r="A314" s="2" t="s">
        <v>448</v>
      </c>
      <c r="B314" s="2" t="s">
        <v>449</v>
      </c>
      <c r="C314" s="2" t="s">
        <v>11</v>
      </c>
      <c r="D314" s="2">
        <v>98</v>
      </c>
      <c r="E314" s="2">
        <v>67</v>
      </c>
      <c r="F314" s="2">
        <v>85</v>
      </c>
      <c r="G314" s="2" t="str">
        <f t="shared" si="8"/>
        <v>Pass</v>
      </c>
      <c r="H314" s="2" t="str" cm="1">
        <f t="array" ref="H314">_xlfn.IFS(F314&gt;=85,"Distinction",F314&gt;=60,"Pass",F314&lt;60,"Fail" )</f>
        <v>Distinction</v>
      </c>
      <c r="I314" s="2" t="str">
        <f t="shared" si="9"/>
        <v>OK</v>
      </c>
    </row>
    <row r="315" spans="1:9" x14ac:dyDescent="0.3">
      <c r="A315" s="2" t="s">
        <v>452</v>
      </c>
      <c r="B315" s="2" t="s">
        <v>453</v>
      </c>
      <c r="C315" s="2" t="s">
        <v>17</v>
      </c>
      <c r="D315" s="2">
        <v>98</v>
      </c>
      <c r="E315" s="2">
        <v>94</v>
      </c>
      <c r="F315" s="2">
        <v>58</v>
      </c>
      <c r="G315" s="2" t="str">
        <f t="shared" si="8"/>
        <v>Pass</v>
      </c>
      <c r="H315" s="2" t="str" cm="1">
        <f t="array" ref="H315">_xlfn.IFS(F315&gt;=85,"Distinction",F315&gt;=60,"Pass",F315&lt;60,"Fail" )</f>
        <v>Fail</v>
      </c>
      <c r="I315" s="2" t="str">
        <f t="shared" si="9"/>
        <v>OK</v>
      </c>
    </row>
    <row r="316" spans="1:9" x14ac:dyDescent="0.3">
      <c r="A316" s="2" t="s">
        <v>462</v>
      </c>
      <c r="B316" s="2" t="s">
        <v>463</v>
      </c>
      <c r="C316" s="2" t="s">
        <v>14</v>
      </c>
      <c r="D316" s="2">
        <v>77</v>
      </c>
      <c r="E316" s="2">
        <v>65</v>
      </c>
      <c r="F316" s="2">
        <v>97</v>
      </c>
      <c r="G316" s="2" t="str">
        <f t="shared" si="8"/>
        <v>Pass</v>
      </c>
      <c r="H316" s="2" t="str" cm="1">
        <f t="array" ref="H316">_xlfn.IFS(F316&gt;=85,"Distinction",F316&gt;=60,"Pass",F316&lt;60,"Fail" )</f>
        <v>Distinction</v>
      </c>
      <c r="I316" s="2" t="str">
        <f t="shared" si="9"/>
        <v>OK</v>
      </c>
    </row>
    <row r="317" spans="1:9" x14ac:dyDescent="0.3">
      <c r="A317" s="2" t="s">
        <v>468</v>
      </c>
      <c r="B317" s="2" t="s">
        <v>469</v>
      </c>
      <c r="C317" s="2" t="s">
        <v>26</v>
      </c>
      <c r="D317" s="2">
        <v>81</v>
      </c>
      <c r="E317" s="2">
        <v>48</v>
      </c>
      <c r="F317" s="2">
        <v>56</v>
      </c>
      <c r="G317" s="2" t="str">
        <f t="shared" si="8"/>
        <v>Pass</v>
      </c>
      <c r="H317" s="2" t="str" cm="1">
        <f t="array" ref="H317">_xlfn.IFS(F317&gt;=85,"Distinction",F317&gt;=60,"Pass",F317&lt;60,"Fail" )</f>
        <v>Fail</v>
      </c>
      <c r="I317" s="2" t="str">
        <f t="shared" si="9"/>
        <v>OK</v>
      </c>
    </row>
    <row r="318" spans="1:9" x14ac:dyDescent="0.3">
      <c r="A318" s="2" t="s">
        <v>470</v>
      </c>
      <c r="B318" s="2" t="s">
        <v>471</v>
      </c>
      <c r="C318" s="2" t="s">
        <v>14</v>
      </c>
      <c r="D318" s="2">
        <v>82</v>
      </c>
      <c r="E318" s="2">
        <v>90</v>
      </c>
      <c r="F318" s="2">
        <v>65</v>
      </c>
      <c r="G318" s="2" t="str">
        <f t="shared" si="8"/>
        <v>Pass</v>
      </c>
      <c r="H318" s="2" t="str" cm="1">
        <f t="array" ref="H318">_xlfn.IFS(F318&gt;=85,"Distinction",F318&gt;=60,"Pass",F318&lt;60,"Fail" )</f>
        <v>Pass</v>
      </c>
      <c r="I318" s="2" t="str">
        <f t="shared" si="9"/>
        <v>OK</v>
      </c>
    </row>
    <row r="319" spans="1:9" x14ac:dyDescent="0.3">
      <c r="A319" s="2" t="s">
        <v>478</v>
      </c>
      <c r="B319" s="2" t="s">
        <v>479</v>
      </c>
      <c r="C319" s="2" t="s">
        <v>31</v>
      </c>
      <c r="D319" s="2">
        <v>93</v>
      </c>
      <c r="E319" s="2">
        <v>68</v>
      </c>
      <c r="F319" s="2">
        <v>56</v>
      </c>
      <c r="G319" s="2" t="str">
        <f t="shared" si="8"/>
        <v>Pass</v>
      </c>
      <c r="H319" s="2" t="str" cm="1">
        <f t="array" ref="H319">_xlfn.IFS(F319&gt;=85,"Distinction",F319&gt;=60,"Pass",F319&lt;60,"Fail" )</f>
        <v>Fail</v>
      </c>
      <c r="I319" s="2" t="str">
        <f t="shared" si="9"/>
        <v>OK</v>
      </c>
    </row>
    <row r="320" spans="1:9" x14ac:dyDescent="0.3">
      <c r="A320" s="2" t="s">
        <v>480</v>
      </c>
      <c r="B320" s="2" t="s">
        <v>481</v>
      </c>
      <c r="C320" s="2" t="s">
        <v>11</v>
      </c>
      <c r="D320" s="2">
        <v>75</v>
      </c>
      <c r="E320" s="2">
        <v>96</v>
      </c>
      <c r="F320" s="2">
        <v>98</v>
      </c>
      <c r="G320" s="2" t="str">
        <f t="shared" si="8"/>
        <v>Pass</v>
      </c>
      <c r="H320" s="2" t="str" cm="1">
        <f t="array" ref="H320">_xlfn.IFS(F320&gt;=85,"Distinction",F320&gt;=60,"Pass",F320&lt;60,"Fail" )</f>
        <v>Distinction</v>
      </c>
      <c r="I320" s="2" t="str">
        <f t="shared" si="9"/>
        <v>OK</v>
      </c>
    </row>
    <row r="321" spans="1:9" x14ac:dyDescent="0.3">
      <c r="A321" s="2" t="s">
        <v>486</v>
      </c>
      <c r="B321" s="2" t="s">
        <v>487</v>
      </c>
      <c r="C321" s="2" t="s">
        <v>26</v>
      </c>
      <c r="D321" s="2">
        <v>81</v>
      </c>
      <c r="E321" s="2">
        <v>87</v>
      </c>
      <c r="F321" s="2">
        <v>67</v>
      </c>
      <c r="G321" s="2" t="str">
        <f t="shared" si="8"/>
        <v>Pass</v>
      </c>
      <c r="H321" s="2" t="str" cm="1">
        <f t="array" ref="H321">_xlfn.IFS(F321&gt;=85,"Distinction",F321&gt;=60,"Pass",F321&lt;60,"Fail" )</f>
        <v>Pass</v>
      </c>
      <c r="I321" s="2" t="str">
        <f t="shared" si="9"/>
        <v>OK</v>
      </c>
    </row>
    <row r="322" spans="1:9" x14ac:dyDescent="0.3">
      <c r="A322" s="2" t="s">
        <v>494</v>
      </c>
      <c r="B322" s="2" t="s">
        <v>495</v>
      </c>
      <c r="C322" s="2" t="s">
        <v>31</v>
      </c>
      <c r="D322" s="2">
        <v>87</v>
      </c>
      <c r="E322" s="2">
        <v>30</v>
      </c>
      <c r="F322" s="2">
        <v>75</v>
      </c>
      <c r="G322" s="2" t="str">
        <f t="shared" ref="G322:G376" si="10">IF($F322&gt;=50,"Pass","Fail")</f>
        <v>Pass</v>
      </c>
      <c r="H322" s="2" t="str" cm="1">
        <f t="array" ref="H322">_xlfn.IFS(F322&gt;=85,"Distinction",F322&gt;=60,"Pass",F322&lt;60,"Fail" )</f>
        <v>Pass</v>
      </c>
      <c r="I322" s="2" t="str">
        <f t="shared" ref="I322:I376" si="11">IF(OR(D322&lt;75,F322&lt;50),"Needs Intervention","OK")</f>
        <v>OK</v>
      </c>
    </row>
    <row r="323" spans="1:9" x14ac:dyDescent="0.3">
      <c r="A323" s="2" t="s">
        <v>500</v>
      </c>
      <c r="B323" s="2" t="s">
        <v>501</v>
      </c>
      <c r="C323" s="2" t="s">
        <v>26</v>
      </c>
      <c r="D323" s="2">
        <v>83</v>
      </c>
      <c r="E323" s="2">
        <v>92</v>
      </c>
      <c r="F323" s="2">
        <v>91</v>
      </c>
      <c r="G323" s="2" t="str">
        <f t="shared" si="10"/>
        <v>Pass</v>
      </c>
      <c r="H323" s="2" t="str" cm="1">
        <f t="array" ref="H323">_xlfn.IFS(F323&gt;=85,"Distinction",F323&gt;=60,"Pass",F323&lt;60,"Fail" )</f>
        <v>Distinction</v>
      </c>
      <c r="I323" s="2" t="str">
        <f t="shared" si="11"/>
        <v>OK</v>
      </c>
    </row>
    <row r="324" spans="1:9" x14ac:dyDescent="0.3">
      <c r="A324" s="2" t="s">
        <v>512</v>
      </c>
      <c r="B324" s="2" t="s">
        <v>513</v>
      </c>
      <c r="C324" s="2" t="s">
        <v>17</v>
      </c>
      <c r="D324" s="2">
        <v>82</v>
      </c>
      <c r="E324" s="2">
        <v>87</v>
      </c>
      <c r="F324" s="2">
        <v>60</v>
      </c>
      <c r="G324" s="2" t="str">
        <f t="shared" si="10"/>
        <v>Pass</v>
      </c>
      <c r="H324" s="2" t="str" cm="1">
        <f t="array" ref="H324">_xlfn.IFS(F324&gt;=85,"Distinction",F324&gt;=60,"Pass",F324&lt;60,"Fail" )</f>
        <v>Pass</v>
      </c>
      <c r="I324" s="2" t="str">
        <f t="shared" si="11"/>
        <v>OK</v>
      </c>
    </row>
    <row r="325" spans="1:9" x14ac:dyDescent="0.3">
      <c r="A325" s="2" t="s">
        <v>520</v>
      </c>
      <c r="B325" s="2" t="s">
        <v>521</v>
      </c>
      <c r="C325" s="2" t="s">
        <v>31</v>
      </c>
      <c r="D325" s="2">
        <v>78</v>
      </c>
      <c r="E325" s="2">
        <v>74</v>
      </c>
      <c r="F325" s="2">
        <v>69</v>
      </c>
      <c r="G325" s="2" t="str">
        <f t="shared" si="10"/>
        <v>Pass</v>
      </c>
      <c r="H325" s="2" t="str" cm="1">
        <f t="array" ref="H325">_xlfn.IFS(F325&gt;=85,"Distinction",F325&gt;=60,"Pass",F325&lt;60,"Fail" )</f>
        <v>Pass</v>
      </c>
      <c r="I325" s="2" t="str">
        <f t="shared" si="11"/>
        <v>OK</v>
      </c>
    </row>
    <row r="326" spans="1:9" x14ac:dyDescent="0.3">
      <c r="A326" s="2" t="s">
        <v>526</v>
      </c>
      <c r="B326" s="2" t="s">
        <v>527</v>
      </c>
      <c r="C326" s="2" t="s">
        <v>14</v>
      </c>
      <c r="D326" s="2">
        <v>85</v>
      </c>
      <c r="E326" s="2">
        <v>50</v>
      </c>
      <c r="F326" s="2">
        <v>52</v>
      </c>
      <c r="G326" s="2" t="str">
        <f t="shared" si="10"/>
        <v>Pass</v>
      </c>
      <c r="H326" s="2" t="str" cm="1">
        <f t="array" ref="H326">_xlfn.IFS(F326&gt;=85,"Distinction",F326&gt;=60,"Pass",F326&lt;60,"Fail" )</f>
        <v>Fail</v>
      </c>
      <c r="I326" s="2" t="str">
        <f t="shared" si="11"/>
        <v>OK</v>
      </c>
    </row>
    <row r="327" spans="1:9" x14ac:dyDescent="0.3">
      <c r="A327" s="2" t="s">
        <v>530</v>
      </c>
      <c r="B327" s="2" t="s">
        <v>531</v>
      </c>
      <c r="C327" s="2" t="s">
        <v>17</v>
      </c>
      <c r="D327" s="2">
        <v>75</v>
      </c>
      <c r="E327" s="2">
        <v>48</v>
      </c>
      <c r="F327" s="2">
        <v>75</v>
      </c>
      <c r="G327" s="2" t="str">
        <f t="shared" si="10"/>
        <v>Pass</v>
      </c>
      <c r="H327" s="2" t="str" cm="1">
        <f t="array" ref="H327">_xlfn.IFS(F327&gt;=85,"Distinction",F327&gt;=60,"Pass",F327&lt;60,"Fail" )</f>
        <v>Pass</v>
      </c>
      <c r="I327" s="2" t="str">
        <f t="shared" si="11"/>
        <v>OK</v>
      </c>
    </row>
    <row r="328" spans="1:9" x14ac:dyDescent="0.3">
      <c r="A328" s="2" t="s">
        <v>538</v>
      </c>
      <c r="B328" s="2" t="s">
        <v>539</v>
      </c>
      <c r="C328" s="2" t="s">
        <v>17</v>
      </c>
      <c r="D328" s="2">
        <v>81</v>
      </c>
      <c r="E328" s="2">
        <v>76</v>
      </c>
      <c r="F328" s="2">
        <v>86</v>
      </c>
      <c r="G328" s="2" t="str">
        <f t="shared" si="10"/>
        <v>Pass</v>
      </c>
      <c r="H328" s="2" t="str" cm="1">
        <f t="array" ref="H328">_xlfn.IFS(F328&gt;=85,"Distinction",F328&gt;=60,"Pass",F328&lt;60,"Fail" )</f>
        <v>Distinction</v>
      </c>
      <c r="I328" s="2" t="str">
        <f t="shared" si="11"/>
        <v>OK</v>
      </c>
    </row>
    <row r="329" spans="1:9" x14ac:dyDescent="0.3">
      <c r="A329" s="2" t="s">
        <v>542</v>
      </c>
      <c r="B329" s="2" t="s">
        <v>543</v>
      </c>
      <c r="C329" s="2" t="s">
        <v>26</v>
      </c>
      <c r="D329" s="2">
        <v>90</v>
      </c>
      <c r="E329" s="2">
        <v>43</v>
      </c>
      <c r="F329" s="2">
        <v>92</v>
      </c>
      <c r="G329" s="2" t="str">
        <f t="shared" si="10"/>
        <v>Pass</v>
      </c>
      <c r="H329" s="2" t="str" cm="1">
        <f t="array" ref="H329">_xlfn.IFS(F329&gt;=85,"Distinction",F329&gt;=60,"Pass",F329&lt;60,"Fail" )</f>
        <v>Distinction</v>
      </c>
      <c r="I329" s="2" t="str">
        <f t="shared" si="11"/>
        <v>OK</v>
      </c>
    </row>
    <row r="330" spans="1:9" x14ac:dyDescent="0.3">
      <c r="A330" s="2" t="s">
        <v>544</v>
      </c>
      <c r="B330" s="2" t="s">
        <v>545</v>
      </c>
      <c r="C330" s="2" t="s">
        <v>11</v>
      </c>
      <c r="D330" s="2">
        <v>82</v>
      </c>
      <c r="E330" s="2">
        <v>44</v>
      </c>
      <c r="F330" s="2">
        <v>83</v>
      </c>
      <c r="G330" s="2" t="str">
        <f t="shared" si="10"/>
        <v>Pass</v>
      </c>
      <c r="H330" s="2" t="str" cm="1">
        <f t="array" ref="H330">_xlfn.IFS(F330&gt;=85,"Distinction",F330&gt;=60,"Pass",F330&lt;60,"Fail" )</f>
        <v>Pass</v>
      </c>
      <c r="I330" s="2" t="str">
        <f t="shared" si="11"/>
        <v>OK</v>
      </c>
    </row>
    <row r="331" spans="1:9" x14ac:dyDescent="0.3">
      <c r="A331" s="2" t="s">
        <v>546</v>
      </c>
      <c r="B331" s="2" t="s">
        <v>547</v>
      </c>
      <c r="C331" s="2" t="s">
        <v>11</v>
      </c>
      <c r="D331" s="2">
        <v>89</v>
      </c>
      <c r="E331" s="2">
        <v>60</v>
      </c>
      <c r="F331" s="2">
        <v>84</v>
      </c>
      <c r="G331" s="2" t="str">
        <f t="shared" si="10"/>
        <v>Pass</v>
      </c>
      <c r="H331" s="2" t="str" cm="1">
        <f t="array" ref="H331">_xlfn.IFS(F331&gt;=85,"Distinction",F331&gt;=60,"Pass",F331&lt;60,"Fail" )</f>
        <v>Pass</v>
      </c>
      <c r="I331" s="2" t="str">
        <f t="shared" si="11"/>
        <v>OK</v>
      </c>
    </row>
    <row r="332" spans="1:9" x14ac:dyDescent="0.3">
      <c r="A332" s="2" t="s">
        <v>548</v>
      </c>
      <c r="B332" s="2" t="s">
        <v>549</v>
      </c>
      <c r="C332" s="2" t="s">
        <v>26</v>
      </c>
      <c r="D332" s="2">
        <v>88</v>
      </c>
      <c r="E332" s="2">
        <v>30</v>
      </c>
      <c r="F332" s="2">
        <v>69</v>
      </c>
      <c r="G332" s="2" t="str">
        <f t="shared" si="10"/>
        <v>Pass</v>
      </c>
      <c r="H332" s="2" t="str" cm="1">
        <f t="array" ref="H332">_xlfn.IFS(F332&gt;=85,"Distinction",F332&gt;=60,"Pass",F332&lt;60,"Fail" )</f>
        <v>Pass</v>
      </c>
      <c r="I332" s="2" t="str">
        <f t="shared" si="11"/>
        <v>OK</v>
      </c>
    </row>
    <row r="333" spans="1:9" x14ac:dyDescent="0.3">
      <c r="A333" s="2" t="s">
        <v>552</v>
      </c>
      <c r="B333" s="2" t="s">
        <v>553</v>
      </c>
      <c r="C333" s="2" t="s">
        <v>14</v>
      </c>
      <c r="D333" s="2">
        <v>89</v>
      </c>
      <c r="E333" s="2">
        <v>32</v>
      </c>
      <c r="F333" s="2">
        <v>50</v>
      </c>
      <c r="G333" s="2" t="str">
        <f t="shared" si="10"/>
        <v>Pass</v>
      </c>
      <c r="H333" s="2" t="str" cm="1">
        <f t="array" ref="H333">_xlfn.IFS(F333&gt;=85,"Distinction",F333&gt;=60,"Pass",F333&lt;60,"Fail" )</f>
        <v>Fail</v>
      </c>
      <c r="I333" s="2" t="str">
        <f t="shared" si="11"/>
        <v>OK</v>
      </c>
    </row>
    <row r="334" spans="1:9" x14ac:dyDescent="0.3">
      <c r="A334" s="2" t="s">
        <v>562</v>
      </c>
      <c r="B334" s="2" t="s">
        <v>563</v>
      </c>
      <c r="C334" s="2" t="s">
        <v>14</v>
      </c>
      <c r="D334" s="2">
        <v>99</v>
      </c>
      <c r="E334" s="2">
        <v>53</v>
      </c>
      <c r="F334" s="2">
        <v>86</v>
      </c>
      <c r="G334" s="2" t="str">
        <f t="shared" si="10"/>
        <v>Pass</v>
      </c>
      <c r="H334" s="2" t="str" cm="1">
        <f t="array" ref="H334">_xlfn.IFS(F334&gt;=85,"Distinction",F334&gt;=60,"Pass",F334&lt;60,"Fail" )</f>
        <v>Distinction</v>
      </c>
      <c r="I334" s="2" t="str">
        <f t="shared" si="11"/>
        <v>OK</v>
      </c>
    </row>
    <row r="335" spans="1:9" x14ac:dyDescent="0.3">
      <c r="A335" s="2" t="s">
        <v>566</v>
      </c>
      <c r="B335" s="2" t="s">
        <v>567</v>
      </c>
      <c r="C335" s="2" t="s">
        <v>14</v>
      </c>
      <c r="D335" s="2">
        <v>80</v>
      </c>
      <c r="E335" s="2">
        <v>37</v>
      </c>
      <c r="F335" s="2">
        <v>70</v>
      </c>
      <c r="G335" s="2" t="str">
        <f t="shared" si="10"/>
        <v>Pass</v>
      </c>
      <c r="H335" s="2" t="str" cm="1">
        <f t="array" ref="H335">_xlfn.IFS(F335&gt;=85,"Distinction",F335&gt;=60,"Pass",F335&lt;60,"Fail" )</f>
        <v>Pass</v>
      </c>
      <c r="I335" s="2" t="str">
        <f t="shared" si="11"/>
        <v>OK</v>
      </c>
    </row>
    <row r="336" spans="1:9" x14ac:dyDescent="0.3">
      <c r="A336" s="2" t="s">
        <v>568</v>
      </c>
      <c r="B336" s="2" t="s">
        <v>569</v>
      </c>
      <c r="C336" s="2" t="s">
        <v>31</v>
      </c>
      <c r="D336" s="2">
        <v>79</v>
      </c>
      <c r="E336" s="2">
        <v>65</v>
      </c>
      <c r="F336" s="2">
        <v>64</v>
      </c>
      <c r="G336" s="2" t="str">
        <f t="shared" si="10"/>
        <v>Pass</v>
      </c>
      <c r="H336" s="2" t="str" cm="1">
        <f t="array" ref="H336">_xlfn.IFS(F336&gt;=85,"Distinction",F336&gt;=60,"Pass",F336&lt;60,"Fail" )</f>
        <v>Pass</v>
      </c>
      <c r="I336" s="2" t="str">
        <f t="shared" si="11"/>
        <v>OK</v>
      </c>
    </row>
    <row r="337" spans="1:9" x14ac:dyDescent="0.3">
      <c r="A337" s="2" t="s">
        <v>570</v>
      </c>
      <c r="B337" s="2" t="s">
        <v>571</v>
      </c>
      <c r="C337" s="2" t="s">
        <v>17</v>
      </c>
      <c r="D337" s="2">
        <v>91</v>
      </c>
      <c r="E337" s="2">
        <v>37</v>
      </c>
      <c r="F337" s="2">
        <v>92</v>
      </c>
      <c r="G337" s="2" t="str">
        <f t="shared" si="10"/>
        <v>Pass</v>
      </c>
      <c r="H337" s="2" t="str" cm="1">
        <f t="array" ref="H337">_xlfn.IFS(F337&gt;=85,"Distinction",F337&gt;=60,"Pass",F337&lt;60,"Fail" )</f>
        <v>Distinction</v>
      </c>
      <c r="I337" s="2" t="str">
        <f t="shared" si="11"/>
        <v>OK</v>
      </c>
    </row>
    <row r="338" spans="1:9" x14ac:dyDescent="0.3">
      <c r="A338" s="2" t="s">
        <v>572</v>
      </c>
      <c r="B338" s="2" t="s">
        <v>573</v>
      </c>
      <c r="C338" s="2" t="s">
        <v>11</v>
      </c>
      <c r="D338" s="2">
        <v>84</v>
      </c>
      <c r="E338" s="2">
        <v>87</v>
      </c>
      <c r="F338" s="2">
        <v>54</v>
      </c>
      <c r="G338" s="2" t="str">
        <f t="shared" si="10"/>
        <v>Pass</v>
      </c>
      <c r="H338" s="2" t="str" cm="1">
        <f t="array" ref="H338">_xlfn.IFS(F338&gt;=85,"Distinction",F338&gt;=60,"Pass",F338&lt;60,"Fail" )</f>
        <v>Fail</v>
      </c>
      <c r="I338" s="2" t="str">
        <f t="shared" si="11"/>
        <v>OK</v>
      </c>
    </row>
    <row r="339" spans="1:9" x14ac:dyDescent="0.3">
      <c r="A339" s="2" t="s">
        <v>580</v>
      </c>
      <c r="B339" s="2" t="s">
        <v>581</v>
      </c>
      <c r="C339" s="2" t="s">
        <v>17</v>
      </c>
      <c r="D339" s="2">
        <v>97</v>
      </c>
      <c r="E339" s="2">
        <v>70</v>
      </c>
      <c r="F339" s="2">
        <v>63</v>
      </c>
      <c r="G339" s="2" t="str">
        <f t="shared" si="10"/>
        <v>Pass</v>
      </c>
      <c r="H339" s="2" t="str" cm="1">
        <f t="array" ref="H339">_xlfn.IFS(F339&gt;=85,"Distinction",F339&gt;=60,"Pass",F339&lt;60,"Fail" )</f>
        <v>Pass</v>
      </c>
      <c r="I339" s="2" t="str">
        <f t="shared" si="11"/>
        <v>OK</v>
      </c>
    </row>
    <row r="340" spans="1:9" x14ac:dyDescent="0.3">
      <c r="A340" s="2" t="s">
        <v>588</v>
      </c>
      <c r="B340" s="2" t="s">
        <v>589</v>
      </c>
      <c r="C340" s="2" t="s">
        <v>14</v>
      </c>
      <c r="D340" s="2">
        <v>97</v>
      </c>
      <c r="E340" s="2">
        <v>46</v>
      </c>
      <c r="F340" s="2">
        <v>80</v>
      </c>
      <c r="G340" s="2" t="str">
        <f t="shared" si="10"/>
        <v>Pass</v>
      </c>
      <c r="H340" s="2" t="str" cm="1">
        <f t="array" ref="H340">_xlfn.IFS(F340&gt;=85,"Distinction",F340&gt;=60,"Pass",F340&lt;60,"Fail" )</f>
        <v>Pass</v>
      </c>
      <c r="I340" s="2" t="str">
        <f t="shared" si="11"/>
        <v>OK</v>
      </c>
    </row>
    <row r="341" spans="1:9" x14ac:dyDescent="0.3">
      <c r="A341" s="2" t="s">
        <v>594</v>
      </c>
      <c r="B341" s="2" t="s">
        <v>595</v>
      </c>
      <c r="C341" s="2" t="s">
        <v>14</v>
      </c>
      <c r="D341" s="2">
        <v>86</v>
      </c>
      <c r="E341" s="2">
        <v>42</v>
      </c>
      <c r="F341" s="2">
        <v>54</v>
      </c>
      <c r="G341" s="2" t="str">
        <f t="shared" si="10"/>
        <v>Pass</v>
      </c>
      <c r="H341" s="2" t="str" cm="1">
        <f t="array" ref="H341">_xlfn.IFS(F341&gt;=85,"Distinction",F341&gt;=60,"Pass",F341&lt;60,"Fail" )</f>
        <v>Fail</v>
      </c>
      <c r="I341" s="2" t="str">
        <f t="shared" si="11"/>
        <v>OK</v>
      </c>
    </row>
    <row r="342" spans="1:9" x14ac:dyDescent="0.3">
      <c r="A342" s="2" t="s">
        <v>596</v>
      </c>
      <c r="B342" s="2" t="s">
        <v>597</v>
      </c>
      <c r="C342" s="2" t="s">
        <v>11</v>
      </c>
      <c r="D342" s="2">
        <v>81</v>
      </c>
      <c r="E342" s="2">
        <v>75</v>
      </c>
      <c r="F342" s="2">
        <v>100</v>
      </c>
      <c r="G342" s="2" t="str">
        <f t="shared" si="10"/>
        <v>Pass</v>
      </c>
      <c r="H342" s="2" t="str" cm="1">
        <f t="array" ref="H342">_xlfn.IFS(F342&gt;=85,"Distinction",F342&gt;=60,"Pass",F342&lt;60,"Fail" )</f>
        <v>Distinction</v>
      </c>
      <c r="I342" s="2" t="str">
        <f t="shared" si="11"/>
        <v>OK</v>
      </c>
    </row>
    <row r="343" spans="1:9" x14ac:dyDescent="0.3">
      <c r="A343" s="2" t="s">
        <v>600</v>
      </c>
      <c r="B343" s="2" t="s">
        <v>601</v>
      </c>
      <c r="C343" s="2" t="s">
        <v>17</v>
      </c>
      <c r="D343" s="2">
        <v>90</v>
      </c>
      <c r="E343" s="2">
        <v>35</v>
      </c>
      <c r="F343" s="2">
        <v>99</v>
      </c>
      <c r="G343" s="2" t="str">
        <f t="shared" si="10"/>
        <v>Pass</v>
      </c>
      <c r="H343" s="2" t="str" cm="1">
        <f t="array" ref="H343">_xlfn.IFS(F343&gt;=85,"Distinction",F343&gt;=60,"Pass",F343&lt;60,"Fail" )</f>
        <v>Distinction</v>
      </c>
      <c r="I343" s="2" t="str">
        <f t="shared" si="11"/>
        <v>OK</v>
      </c>
    </row>
    <row r="344" spans="1:9" x14ac:dyDescent="0.3">
      <c r="A344" s="2" t="s">
        <v>602</v>
      </c>
      <c r="B344" s="2" t="s">
        <v>603</v>
      </c>
      <c r="C344" s="2" t="s">
        <v>11</v>
      </c>
      <c r="D344" s="2">
        <v>84</v>
      </c>
      <c r="E344" s="2">
        <v>98</v>
      </c>
      <c r="F344" s="2">
        <v>62</v>
      </c>
      <c r="G344" s="2" t="str">
        <f t="shared" si="10"/>
        <v>Pass</v>
      </c>
      <c r="H344" s="2" t="str" cm="1">
        <f t="array" ref="H344">_xlfn.IFS(F344&gt;=85,"Distinction",F344&gt;=60,"Pass",F344&lt;60,"Fail" )</f>
        <v>Pass</v>
      </c>
      <c r="I344" s="2" t="str">
        <f t="shared" si="11"/>
        <v>OK</v>
      </c>
    </row>
    <row r="345" spans="1:9" x14ac:dyDescent="0.3">
      <c r="A345" s="2" t="s">
        <v>606</v>
      </c>
      <c r="B345" s="2" t="s">
        <v>607</v>
      </c>
      <c r="C345" s="2" t="s">
        <v>31</v>
      </c>
      <c r="D345" s="2">
        <v>97</v>
      </c>
      <c r="E345" s="2">
        <v>54</v>
      </c>
      <c r="F345" s="2">
        <v>58</v>
      </c>
      <c r="G345" s="2" t="str">
        <f t="shared" si="10"/>
        <v>Pass</v>
      </c>
      <c r="H345" s="2" t="str" cm="1">
        <f t="array" ref="H345">_xlfn.IFS(F345&gt;=85,"Distinction",F345&gt;=60,"Pass",F345&lt;60,"Fail" )</f>
        <v>Fail</v>
      </c>
      <c r="I345" s="2" t="str">
        <f t="shared" si="11"/>
        <v>OK</v>
      </c>
    </row>
    <row r="346" spans="1:9" x14ac:dyDescent="0.3">
      <c r="A346" s="2" t="s">
        <v>616</v>
      </c>
      <c r="B346" s="2" t="s">
        <v>617</v>
      </c>
      <c r="C346" s="2" t="s">
        <v>31</v>
      </c>
      <c r="D346" s="2">
        <v>82</v>
      </c>
      <c r="E346" s="2">
        <v>34</v>
      </c>
      <c r="F346" s="2">
        <v>78</v>
      </c>
      <c r="G346" s="2" t="str">
        <f t="shared" si="10"/>
        <v>Pass</v>
      </c>
      <c r="H346" s="2" t="str" cm="1">
        <f t="array" ref="H346">_xlfn.IFS(F346&gt;=85,"Distinction",F346&gt;=60,"Pass",F346&lt;60,"Fail" )</f>
        <v>Pass</v>
      </c>
      <c r="I346" s="2" t="str">
        <f t="shared" si="11"/>
        <v>OK</v>
      </c>
    </row>
    <row r="347" spans="1:9" x14ac:dyDescent="0.3">
      <c r="A347" s="2" t="s">
        <v>626</v>
      </c>
      <c r="B347" s="2" t="s">
        <v>627</v>
      </c>
      <c r="C347" s="2" t="s">
        <v>17</v>
      </c>
      <c r="D347" s="2">
        <v>85</v>
      </c>
      <c r="E347" s="2">
        <v>40</v>
      </c>
      <c r="F347" s="2">
        <v>90</v>
      </c>
      <c r="G347" s="2" t="str">
        <f t="shared" si="10"/>
        <v>Pass</v>
      </c>
      <c r="H347" s="2" t="str" cm="1">
        <f t="array" ref="H347">_xlfn.IFS(F347&gt;=85,"Distinction",F347&gt;=60,"Pass",F347&lt;60,"Fail" )</f>
        <v>Distinction</v>
      </c>
      <c r="I347" s="2" t="str">
        <f t="shared" si="11"/>
        <v>OK</v>
      </c>
    </row>
    <row r="348" spans="1:9" x14ac:dyDescent="0.3">
      <c r="A348" s="2" t="s">
        <v>628</v>
      </c>
      <c r="B348" s="2" t="s">
        <v>629</v>
      </c>
      <c r="C348" s="2" t="s">
        <v>26</v>
      </c>
      <c r="D348" s="2">
        <v>87</v>
      </c>
      <c r="E348" s="2">
        <v>55</v>
      </c>
      <c r="F348" s="2">
        <v>78</v>
      </c>
      <c r="G348" s="2" t="str">
        <f t="shared" si="10"/>
        <v>Pass</v>
      </c>
      <c r="H348" s="2" t="str" cm="1">
        <f t="array" ref="H348">_xlfn.IFS(F348&gt;=85,"Distinction",F348&gt;=60,"Pass",F348&lt;60,"Fail" )</f>
        <v>Pass</v>
      </c>
      <c r="I348" s="2" t="str">
        <f t="shared" si="11"/>
        <v>OK</v>
      </c>
    </row>
    <row r="349" spans="1:9" x14ac:dyDescent="0.3">
      <c r="A349" s="2" t="s">
        <v>630</v>
      </c>
      <c r="B349" s="2" t="s">
        <v>631</v>
      </c>
      <c r="C349" s="2" t="s">
        <v>11</v>
      </c>
      <c r="D349" s="2">
        <v>89</v>
      </c>
      <c r="E349" s="2">
        <v>92</v>
      </c>
      <c r="F349" s="2">
        <v>100</v>
      </c>
      <c r="G349" s="2" t="str">
        <f t="shared" si="10"/>
        <v>Pass</v>
      </c>
      <c r="H349" s="2" t="str" cm="1">
        <f t="array" ref="H349">_xlfn.IFS(F349&gt;=85,"Distinction",F349&gt;=60,"Pass",F349&lt;60,"Fail" )</f>
        <v>Distinction</v>
      </c>
      <c r="I349" s="2" t="str">
        <f t="shared" si="11"/>
        <v>OK</v>
      </c>
    </row>
    <row r="350" spans="1:9" x14ac:dyDescent="0.3">
      <c r="A350" s="2" t="s">
        <v>636</v>
      </c>
      <c r="B350" s="2" t="s">
        <v>637</v>
      </c>
      <c r="C350" s="2" t="s">
        <v>17</v>
      </c>
      <c r="D350" s="2">
        <v>97</v>
      </c>
      <c r="E350" s="2">
        <v>78</v>
      </c>
      <c r="F350" s="2">
        <v>80</v>
      </c>
      <c r="G350" s="2" t="str">
        <f t="shared" si="10"/>
        <v>Pass</v>
      </c>
      <c r="H350" s="2" t="str" cm="1">
        <f t="array" ref="H350">_xlfn.IFS(F350&gt;=85,"Distinction",F350&gt;=60,"Pass",F350&lt;60,"Fail" )</f>
        <v>Pass</v>
      </c>
      <c r="I350" s="2" t="str">
        <f t="shared" si="11"/>
        <v>OK</v>
      </c>
    </row>
    <row r="351" spans="1:9" x14ac:dyDescent="0.3">
      <c r="A351" s="2" t="s">
        <v>640</v>
      </c>
      <c r="B351" s="2" t="s">
        <v>641</v>
      </c>
      <c r="C351" s="2" t="s">
        <v>14</v>
      </c>
      <c r="D351" s="2">
        <v>84</v>
      </c>
      <c r="E351" s="2">
        <v>30</v>
      </c>
      <c r="F351" s="2">
        <v>91</v>
      </c>
      <c r="G351" s="2" t="str">
        <f t="shared" si="10"/>
        <v>Pass</v>
      </c>
      <c r="H351" s="2" t="str" cm="1">
        <f t="array" ref="H351">_xlfn.IFS(F351&gt;=85,"Distinction",F351&gt;=60,"Pass",F351&lt;60,"Fail" )</f>
        <v>Distinction</v>
      </c>
      <c r="I351" s="2" t="str">
        <f t="shared" si="11"/>
        <v>OK</v>
      </c>
    </row>
    <row r="352" spans="1:9" x14ac:dyDescent="0.3">
      <c r="A352" s="2" t="s">
        <v>644</v>
      </c>
      <c r="B352" s="2" t="s">
        <v>645</v>
      </c>
      <c r="C352" s="2" t="s">
        <v>26</v>
      </c>
      <c r="D352" s="2">
        <v>78</v>
      </c>
      <c r="E352" s="2">
        <v>84</v>
      </c>
      <c r="F352" s="2">
        <v>59</v>
      </c>
      <c r="G352" s="2" t="str">
        <f t="shared" si="10"/>
        <v>Pass</v>
      </c>
      <c r="H352" s="2" t="str" cm="1">
        <f t="array" ref="H352">_xlfn.IFS(F352&gt;=85,"Distinction",F352&gt;=60,"Pass",F352&lt;60,"Fail" )</f>
        <v>Fail</v>
      </c>
      <c r="I352" s="2" t="str">
        <f t="shared" si="11"/>
        <v>OK</v>
      </c>
    </row>
    <row r="353" spans="1:9" x14ac:dyDescent="0.3">
      <c r="A353" s="2" t="s">
        <v>648</v>
      </c>
      <c r="B353" s="2" t="s">
        <v>649</v>
      </c>
      <c r="C353" s="2" t="s">
        <v>11</v>
      </c>
      <c r="D353" s="2">
        <v>95</v>
      </c>
      <c r="E353" s="2">
        <v>98</v>
      </c>
      <c r="F353" s="2">
        <v>78</v>
      </c>
      <c r="G353" s="2" t="str">
        <f t="shared" si="10"/>
        <v>Pass</v>
      </c>
      <c r="H353" s="2" t="str" cm="1">
        <f t="array" ref="H353">_xlfn.IFS(F353&gt;=85,"Distinction",F353&gt;=60,"Pass",F353&lt;60,"Fail" )</f>
        <v>Pass</v>
      </c>
      <c r="I353" s="2" t="str">
        <f t="shared" si="11"/>
        <v>OK</v>
      </c>
    </row>
    <row r="354" spans="1:9" x14ac:dyDescent="0.3">
      <c r="A354" s="2" t="s">
        <v>666</v>
      </c>
      <c r="B354" s="2" t="s">
        <v>667</v>
      </c>
      <c r="C354" s="2" t="s">
        <v>17</v>
      </c>
      <c r="D354" s="2">
        <v>82</v>
      </c>
      <c r="E354" s="2">
        <v>80</v>
      </c>
      <c r="F354" s="2">
        <v>95</v>
      </c>
      <c r="G354" s="2" t="str">
        <f t="shared" si="10"/>
        <v>Pass</v>
      </c>
      <c r="H354" s="2" t="str" cm="1">
        <f t="array" ref="H354">_xlfn.IFS(F354&gt;=85,"Distinction",F354&gt;=60,"Pass",F354&lt;60,"Fail" )</f>
        <v>Distinction</v>
      </c>
      <c r="I354" s="2" t="str">
        <f t="shared" si="11"/>
        <v>OK</v>
      </c>
    </row>
    <row r="355" spans="1:9" x14ac:dyDescent="0.3">
      <c r="A355" s="2" t="s">
        <v>671</v>
      </c>
      <c r="B355" s="2" t="s">
        <v>672</v>
      </c>
      <c r="C355" s="2" t="s">
        <v>26</v>
      </c>
      <c r="D355" s="2">
        <v>97</v>
      </c>
      <c r="E355" s="2">
        <v>91</v>
      </c>
      <c r="F355" s="2">
        <v>92</v>
      </c>
      <c r="G355" s="2" t="str">
        <f t="shared" si="10"/>
        <v>Pass</v>
      </c>
      <c r="H355" s="2" t="str" cm="1">
        <f t="array" ref="H355">_xlfn.IFS(F355&gt;=85,"Distinction",F355&gt;=60,"Pass",F355&lt;60,"Fail" )</f>
        <v>Distinction</v>
      </c>
      <c r="I355" s="2" t="str">
        <f t="shared" si="11"/>
        <v>OK</v>
      </c>
    </row>
    <row r="356" spans="1:9" x14ac:dyDescent="0.3">
      <c r="A356" s="2" t="s">
        <v>685</v>
      </c>
      <c r="B356" s="2" t="s">
        <v>686</v>
      </c>
      <c r="C356" s="2" t="s">
        <v>17</v>
      </c>
      <c r="D356" s="2">
        <v>97</v>
      </c>
      <c r="E356" s="2">
        <v>83</v>
      </c>
      <c r="F356" s="2">
        <v>61</v>
      </c>
      <c r="G356" s="2" t="str">
        <f t="shared" si="10"/>
        <v>Pass</v>
      </c>
      <c r="H356" s="2" t="str" cm="1">
        <f t="array" ref="H356">_xlfn.IFS(F356&gt;=85,"Distinction",F356&gt;=60,"Pass",F356&lt;60,"Fail" )</f>
        <v>Pass</v>
      </c>
      <c r="I356" s="2" t="str">
        <f t="shared" si="11"/>
        <v>OK</v>
      </c>
    </row>
    <row r="357" spans="1:9" x14ac:dyDescent="0.3">
      <c r="A357" s="2" t="s">
        <v>689</v>
      </c>
      <c r="B357" s="2" t="s">
        <v>690</v>
      </c>
      <c r="C357" s="2" t="s">
        <v>31</v>
      </c>
      <c r="D357" s="2">
        <v>100</v>
      </c>
      <c r="E357" s="2">
        <v>79</v>
      </c>
      <c r="F357" s="2">
        <v>63</v>
      </c>
      <c r="G357" s="2" t="str">
        <f t="shared" si="10"/>
        <v>Pass</v>
      </c>
      <c r="H357" s="2" t="str" cm="1">
        <f t="array" ref="H357">_xlfn.IFS(F357&gt;=85,"Distinction",F357&gt;=60,"Pass",F357&lt;60,"Fail" )</f>
        <v>Pass</v>
      </c>
      <c r="I357" s="2" t="str">
        <f t="shared" si="11"/>
        <v>OK</v>
      </c>
    </row>
    <row r="358" spans="1:9" x14ac:dyDescent="0.3">
      <c r="A358" s="2" t="s">
        <v>695</v>
      </c>
      <c r="B358" s="2" t="s">
        <v>696</v>
      </c>
      <c r="C358" s="2" t="s">
        <v>17</v>
      </c>
      <c r="D358" s="2">
        <v>95</v>
      </c>
      <c r="E358" s="2">
        <v>83</v>
      </c>
      <c r="F358" s="2">
        <v>79</v>
      </c>
      <c r="G358" s="2" t="str">
        <f t="shared" si="10"/>
        <v>Pass</v>
      </c>
      <c r="H358" s="2" t="str" cm="1">
        <f t="array" ref="H358">_xlfn.IFS(F358&gt;=85,"Distinction",F358&gt;=60,"Pass",F358&lt;60,"Fail" )</f>
        <v>Pass</v>
      </c>
      <c r="I358" s="2" t="str">
        <f t="shared" si="11"/>
        <v>OK</v>
      </c>
    </row>
    <row r="359" spans="1:9" x14ac:dyDescent="0.3">
      <c r="A359" s="2" t="s">
        <v>701</v>
      </c>
      <c r="B359" s="2" t="s">
        <v>702</v>
      </c>
      <c r="C359" s="2" t="s">
        <v>17</v>
      </c>
      <c r="D359" s="2">
        <v>87</v>
      </c>
      <c r="E359" s="2">
        <v>46</v>
      </c>
      <c r="F359" s="2">
        <v>94</v>
      </c>
      <c r="G359" s="2" t="str">
        <f t="shared" si="10"/>
        <v>Pass</v>
      </c>
      <c r="H359" s="2" t="str" cm="1">
        <f t="array" ref="H359">_xlfn.IFS(F359&gt;=85,"Distinction",F359&gt;=60,"Pass",F359&lt;60,"Fail" )</f>
        <v>Distinction</v>
      </c>
      <c r="I359" s="2" t="str">
        <f t="shared" si="11"/>
        <v>OK</v>
      </c>
    </row>
    <row r="360" spans="1:9" x14ac:dyDescent="0.3">
      <c r="A360" s="2" t="s">
        <v>703</v>
      </c>
      <c r="B360" s="2" t="s">
        <v>704</v>
      </c>
      <c r="C360" s="2" t="s">
        <v>26</v>
      </c>
      <c r="D360" s="2">
        <v>94</v>
      </c>
      <c r="E360" s="2">
        <v>76</v>
      </c>
      <c r="F360" s="2">
        <v>86</v>
      </c>
      <c r="G360" s="2" t="str">
        <f t="shared" si="10"/>
        <v>Pass</v>
      </c>
      <c r="H360" s="2" t="str" cm="1">
        <f t="array" ref="H360">_xlfn.IFS(F360&gt;=85,"Distinction",F360&gt;=60,"Pass",F360&lt;60,"Fail" )</f>
        <v>Distinction</v>
      </c>
      <c r="I360" s="2" t="str">
        <f t="shared" si="11"/>
        <v>OK</v>
      </c>
    </row>
    <row r="361" spans="1:9" x14ac:dyDescent="0.3">
      <c r="A361" s="2" t="s">
        <v>705</v>
      </c>
      <c r="B361" s="2" t="s">
        <v>706</v>
      </c>
      <c r="C361" s="2" t="s">
        <v>26</v>
      </c>
      <c r="D361" s="2">
        <v>100</v>
      </c>
      <c r="E361" s="2">
        <v>52</v>
      </c>
      <c r="F361" s="2">
        <v>96</v>
      </c>
      <c r="G361" s="2" t="str">
        <f t="shared" si="10"/>
        <v>Pass</v>
      </c>
      <c r="H361" s="2" t="str" cm="1">
        <f t="array" ref="H361">_xlfn.IFS(F361&gt;=85,"Distinction",F361&gt;=60,"Pass",F361&lt;60,"Fail" )</f>
        <v>Distinction</v>
      </c>
      <c r="I361" s="2" t="str">
        <f t="shared" si="11"/>
        <v>OK</v>
      </c>
    </row>
    <row r="362" spans="1:9" x14ac:dyDescent="0.3">
      <c r="A362" s="2" t="s">
        <v>709</v>
      </c>
      <c r="B362" s="2" t="s">
        <v>710</v>
      </c>
      <c r="C362" s="2" t="s">
        <v>11</v>
      </c>
      <c r="D362" s="2">
        <v>76</v>
      </c>
      <c r="E362" s="2">
        <v>95</v>
      </c>
      <c r="F362" s="2">
        <v>83</v>
      </c>
      <c r="G362" s="2" t="str">
        <f t="shared" si="10"/>
        <v>Pass</v>
      </c>
      <c r="H362" s="2" t="str" cm="1">
        <f t="array" ref="H362">_xlfn.IFS(F362&gt;=85,"Distinction",F362&gt;=60,"Pass",F362&lt;60,"Fail" )</f>
        <v>Pass</v>
      </c>
      <c r="I362" s="2" t="str">
        <f t="shared" si="11"/>
        <v>OK</v>
      </c>
    </row>
    <row r="363" spans="1:9" x14ac:dyDescent="0.3">
      <c r="A363" s="2" t="s">
        <v>711</v>
      </c>
      <c r="B363" s="2" t="s">
        <v>712</v>
      </c>
      <c r="C363" s="2" t="s">
        <v>17</v>
      </c>
      <c r="D363" s="2">
        <v>76</v>
      </c>
      <c r="E363" s="2">
        <v>80</v>
      </c>
      <c r="F363" s="2">
        <v>96</v>
      </c>
      <c r="G363" s="2" t="str">
        <f t="shared" si="10"/>
        <v>Pass</v>
      </c>
      <c r="H363" s="2" t="str" cm="1">
        <f t="array" ref="H363">_xlfn.IFS(F363&gt;=85,"Distinction",F363&gt;=60,"Pass",F363&lt;60,"Fail" )</f>
        <v>Distinction</v>
      </c>
      <c r="I363" s="2" t="str">
        <f t="shared" si="11"/>
        <v>OK</v>
      </c>
    </row>
    <row r="364" spans="1:9" x14ac:dyDescent="0.3">
      <c r="A364" s="2" t="s">
        <v>713</v>
      </c>
      <c r="B364" s="2" t="s">
        <v>714</v>
      </c>
      <c r="C364" s="2" t="s">
        <v>26</v>
      </c>
      <c r="D364" s="2">
        <v>83</v>
      </c>
      <c r="E364" s="2">
        <v>67</v>
      </c>
      <c r="F364" s="2">
        <v>80</v>
      </c>
      <c r="G364" s="2" t="str">
        <f t="shared" si="10"/>
        <v>Pass</v>
      </c>
      <c r="H364" s="2" t="str" cm="1">
        <f t="array" ref="H364">_xlfn.IFS(F364&gt;=85,"Distinction",F364&gt;=60,"Pass",F364&lt;60,"Fail" )</f>
        <v>Pass</v>
      </c>
      <c r="I364" s="2" t="str">
        <f t="shared" si="11"/>
        <v>OK</v>
      </c>
    </row>
    <row r="365" spans="1:9" x14ac:dyDescent="0.3">
      <c r="A365" s="2" t="s">
        <v>717</v>
      </c>
      <c r="B365" s="2" t="s">
        <v>718</v>
      </c>
      <c r="C365" s="2" t="s">
        <v>26</v>
      </c>
      <c r="D365" s="2">
        <v>79</v>
      </c>
      <c r="E365" s="2">
        <v>67</v>
      </c>
      <c r="F365" s="2">
        <v>63</v>
      </c>
      <c r="G365" s="2" t="str">
        <f t="shared" si="10"/>
        <v>Pass</v>
      </c>
      <c r="H365" s="2" t="str" cm="1">
        <f t="array" ref="H365">_xlfn.IFS(F365&gt;=85,"Distinction",F365&gt;=60,"Pass",F365&lt;60,"Fail" )</f>
        <v>Pass</v>
      </c>
      <c r="I365" s="2" t="str">
        <f t="shared" si="11"/>
        <v>OK</v>
      </c>
    </row>
    <row r="366" spans="1:9" x14ac:dyDescent="0.3">
      <c r="A366" s="2" t="s">
        <v>719</v>
      </c>
      <c r="B366" s="2" t="s">
        <v>720</v>
      </c>
      <c r="C366" s="2" t="s">
        <v>14</v>
      </c>
      <c r="D366" s="2">
        <v>82</v>
      </c>
      <c r="E366" s="2">
        <v>79</v>
      </c>
      <c r="F366" s="2">
        <v>64</v>
      </c>
      <c r="G366" s="2" t="str">
        <f t="shared" si="10"/>
        <v>Pass</v>
      </c>
      <c r="H366" s="2" t="str" cm="1">
        <f t="array" ref="H366">_xlfn.IFS(F366&gt;=85,"Distinction",F366&gt;=60,"Pass",F366&lt;60,"Fail" )</f>
        <v>Pass</v>
      </c>
      <c r="I366" s="2" t="str">
        <f t="shared" si="11"/>
        <v>OK</v>
      </c>
    </row>
    <row r="367" spans="1:9" x14ac:dyDescent="0.3">
      <c r="A367" s="2" t="s">
        <v>721</v>
      </c>
      <c r="B367" s="2" t="s">
        <v>722</v>
      </c>
      <c r="C367" s="2" t="s">
        <v>26</v>
      </c>
      <c r="D367" s="2">
        <v>77</v>
      </c>
      <c r="E367" s="2">
        <v>59</v>
      </c>
      <c r="F367" s="2">
        <v>61</v>
      </c>
      <c r="G367" s="2" t="str">
        <f t="shared" si="10"/>
        <v>Pass</v>
      </c>
      <c r="H367" s="2" t="str" cm="1">
        <f t="array" ref="H367">_xlfn.IFS(F367&gt;=85,"Distinction",F367&gt;=60,"Pass",F367&lt;60,"Fail" )</f>
        <v>Pass</v>
      </c>
      <c r="I367" s="2" t="str">
        <f t="shared" si="11"/>
        <v>OK</v>
      </c>
    </row>
    <row r="368" spans="1:9" x14ac:dyDescent="0.3">
      <c r="A368" s="2" t="s">
        <v>723</v>
      </c>
      <c r="B368" s="2" t="s">
        <v>724</v>
      </c>
      <c r="C368" s="2" t="s">
        <v>14</v>
      </c>
      <c r="D368" s="2">
        <v>96</v>
      </c>
      <c r="E368" s="2">
        <v>80</v>
      </c>
      <c r="F368" s="2">
        <v>75</v>
      </c>
      <c r="G368" s="2" t="str">
        <f t="shared" si="10"/>
        <v>Pass</v>
      </c>
      <c r="H368" s="2" t="str" cm="1">
        <f t="array" ref="H368">_xlfn.IFS(F368&gt;=85,"Distinction",F368&gt;=60,"Pass",F368&lt;60,"Fail" )</f>
        <v>Pass</v>
      </c>
      <c r="I368" s="2" t="str">
        <f t="shared" si="11"/>
        <v>OK</v>
      </c>
    </row>
    <row r="369" spans="1:9" x14ac:dyDescent="0.3">
      <c r="A369" s="2" t="s">
        <v>729</v>
      </c>
      <c r="B369" s="2" t="s">
        <v>730</v>
      </c>
      <c r="C369" s="2" t="s">
        <v>14</v>
      </c>
      <c r="D369" s="2">
        <v>97</v>
      </c>
      <c r="E369" s="2">
        <v>67</v>
      </c>
      <c r="F369" s="2">
        <v>66</v>
      </c>
      <c r="G369" s="2" t="str">
        <f t="shared" si="10"/>
        <v>Pass</v>
      </c>
      <c r="H369" s="2" t="str" cm="1">
        <f t="array" ref="H369">_xlfn.IFS(F369&gt;=85,"Distinction",F369&gt;=60,"Pass",F369&lt;60,"Fail" )</f>
        <v>Pass</v>
      </c>
      <c r="I369" s="2" t="str">
        <f t="shared" si="11"/>
        <v>OK</v>
      </c>
    </row>
    <row r="370" spans="1:9" x14ac:dyDescent="0.3">
      <c r="A370" s="2" t="s">
        <v>735</v>
      </c>
      <c r="B370" s="2" t="s">
        <v>736</v>
      </c>
      <c r="C370" s="2" t="s">
        <v>17</v>
      </c>
      <c r="D370" s="2">
        <v>84</v>
      </c>
      <c r="E370" s="2">
        <v>34</v>
      </c>
      <c r="F370" s="2">
        <v>84</v>
      </c>
      <c r="G370" s="2" t="str">
        <f t="shared" si="10"/>
        <v>Pass</v>
      </c>
      <c r="H370" s="2" t="str" cm="1">
        <f t="array" ref="H370">_xlfn.IFS(F370&gt;=85,"Distinction",F370&gt;=60,"Pass",F370&lt;60,"Fail" )</f>
        <v>Pass</v>
      </c>
      <c r="I370" s="2" t="str">
        <f t="shared" si="11"/>
        <v>OK</v>
      </c>
    </row>
    <row r="371" spans="1:9" x14ac:dyDescent="0.3">
      <c r="A371" s="2" t="s">
        <v>737</v>
      </c>
      <c r="B371" s="2" t="s">
        <v>738</v>
      </c>
      <c r="C371" s="2" t="s">
        <v>11</v>
      </c>
      <c r="D371" s="2">
        <v>98</v>
      </c>
      <c r="E371" s="2">
        <v>58</v>
      </c>
      <c r="F371" s="2">
        <v>77</v>
      </c>
      <c r="G371" s="2" t="str">
        <f t="shared" si="10"/>
        <v>Pass</v>
      </c>
      <c r="H371" s="2" t="str" cm="1">
        <f t="array" ref="H371">_xlfn.IFS(F371&gt;=85,"Distinction",F371&gt;=60,"Pass",F371&lt;60,"Fail" )</f>
        <v>Pass</v>
      </c>
      <c r="I371" s="2" t="str">
        <f t="shared" si="11"/>
        <v>OK</v>
      </c>
    </row>
    <row r="372" spans="1:9" x14ac:dyDescent="0.3">
      <c r="A372" s="2" t="s">
        <v>743</v>
      </c>
      <c r="B372" s="2" t="s">
        <v>744</v>
      </c>
      <c r="C372" s="2" t="s">
        <v>31</v>
      </c>
      <c r="D372" s="2">
        <v>77</v>
      </c>
      <c r="E372" s="2">
        <v>85</v>
      </c>
      <c r="F372" s="2">
        <v>62</v>
      </c>
      <c r="G372" s="2" t="str">
        <f t="shared" si="10"/>
        <v>Pass</v>
      </c>
      <c r="H372" s="2" t="str" cm="1">
        <f t="array" ref="H372">_xlfn.IFS(F372&gt;=85,"Distinction",F372&gt;=60,"Pass",F372&lt;60,"Fail" )</f>
        <v>Pass</v>
      </c>
      <c r="I372" s="2" t="str">
        <f t="shared" si="11"/>
        <v>OK</v>
      </c>
    </row>
    <row r="373" spans="1:9" x14ac:dyDescent="0.3">
      <c r="A373" s="2" t="s">
        <v>745</v>
      </c>
      <c r="B373" s="2" t="s">
        <v>746</v>
      </c>
      <c r="C373" s="2" t="s">
        <v>17</v>
      </c>
      <c r="D373" s="2">
        <v>79</v>
      </c>
      <c r="E373" s="2">
        <v>46</v>
      </c>
      <c r="F373" s="2">
        <v>52</v>
      </c>
      <c r="G373" s="2" t="str">
        <f t="shared" si="10"/>
        <v>Pass</v>
      </c>
      <c r="H373" s="2" t="str" cm="1">
        <f t="array" ref="H373">_xlfn.IFS(F373&gt;=85,"Distinction",F373&gt;=60,"Pass",F373&lt;60,"Fail" )</f>
        <v>Fail</v>
      </c>
      <c r="I373" s="2" t="str">
        <f t="shared" si="11"/>
        <v>OK</v>
      </c>
    </row>
    <row r="374" spans="1:9" x14ac:dyDescent="0.3">
      <c r="A374" s="2" t="s">
        <v>753</v>
      </c>
      <c r="B374" s="2" t="s">
        <v>754</v>
      </c>
      <c r="C374" s="2" t="s">
        <v>31</v>
      </c>
      <c r="D374" s="2">
        <v>84</v>
      </c>
      <c r="E374" s="2">
        <v>35</v>
      </c>
      <c r="F374" s="2">
        <v>58</v>
      </c>
      <c r="G374" s="2" t="str">
        <f t="shared" si="10"/>
        <v>Pass</v>
      </c>
      <c r="H374" s="2" t="str" cm="1">
        <f t="array" ref="H374">_xlfn.IFS(F374&gt;=85,"Distinction",F374&gt;=60,"Pass",F374&lt;60,"Fail" )</f>
        <v>Fail</v>
      </c>
      <c r="I374" s="2" t="str">
        <f t="shared" si="11"/>
        <v>OK</v>
      </c>
    </row>
    <row r="375" spans="1:9" x14ac:dyDescent="0.3">
      <c r="A375" s="2" t="s">
        <v>755</v>
      </c>
      <c r="B375" s="2" t="s">
        <v>756</v>
      </c>
      <c r="C375" s="2" t="s">
        <v>11</v>
      </c>
      <c r="D375" s="2">
        <v>90</v>
      </c>
      <c r="E375" s="2">
        <v>82</v>
      </c>
      <c r="F375" s="2">
        <v>89</v>
      </c>
      <c r="G375" s="2" t="str">
        <f t="shared" si="10"/>
        <v>Pass</v>
      </c>
      <c r="H375" s="2" t="str" cm="1">
        <f t="array" ref="H375">_xlfn.IFS(F375&gt;=85,"Distinction",F375&gt;=60,"Pass",F375&lt;60,"Fail" )</f>
        <v>Distinction</v>
      </c>
      <c r="I375" s="2" t="str">
        <f t="shared" si="11"/>
        <v>OK</v>
      </c>
    </row>
    <row r="376" spans="1:9" x14ac:dyDescent="0.3">
      <c r="A376" s="2" t="s">
        <v>761</v>
      </c>
      <c r="B376" s="2" t="s">
        <v>762</v>
      </c>
      <c r="C376" s="2" t="s">
        <v>17</v>
      </c>
      <c r="D376" s="2">
        <v>78</v>
      </c>
      <c r="E376" s="2">
        <v>52</v>
      </c>
      <c r="F376" s="2">
        <v>76</v>
      </c>
      <c r="G376" s="2" t="str">
        <f t="shared" si="10"/>
        <v>Pass</v>
      </c>
      <c r="H376" s="2" t="str" cm="1">
        <f t="array" ref="H376">_xlfn.IFS(F376&gt;=85,"Distinction",F376&gt;=60,"Pass",F376&lt;60,"Fail" )</f>
        <v>Pass</v>
      </c>
      <c r="I376" s="2" t="str">
        <f t="shared" si="11"/>
        <v>OK</v>
      </c>
    </row>
  </sheetData>
  <sortState xmlns:xlrd2="http://schemas.microsoft.com/office/spreadsheetml/2017/richdata2" ref="A2:I376">
    <sortCondition ref="I2:I376"/>
  </sortState>
  <conditionalFormatting sqref="I2:I376">
    <cfRule type="containsText" dxfId="1" priority="1" operator="containsText" text="OK">
      <formula>NOT(ISERROR(SEARCH("OK",I2)))</formula>
    </cfRule>
    <cfRule type="containsText" dxfId="0" priority="2" operator="containsText" text="Needs Intervention">
      <formula>NOT(ISERROR(SEARCH("Needs Intervention",I2)))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2026-09-23T09:42:49Z</dcterms:created>
  <dcterms:modified xsi:type="dcterms:W3CDTF">2026-09-28T09:29:07Z</dcterms:modified>
</cp:coreProperties>
</file>
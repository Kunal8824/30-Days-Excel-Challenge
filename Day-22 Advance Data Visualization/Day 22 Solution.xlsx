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Practice Challenges\Day 22\"/>
    </mc:Choice>
  </mc:AlternateContent>
  <xr:revisionPtr revIDLastSave="0" documentId="13_ncr:1_{3AC2467F-7685-4C37-9CFB-BACEB0111282}" xr6:coauthVersionLast="47" xr6:coauthVersionMax="47" xr10:uidLastSave="{00000000-0000-0000-0000-000000000000}"/>
  <bookViews>
    <workbookView xWindow="-108" yWindow="-108" windowWidth="23256" windowHeight="12456" activeTab="3" xr2:uid="{BA152770-535E-46CB-8610-A847AFB02F78}"/>
  </bookViews>
  <sheets>
    <sheet name="Solution" sheetId="1" r:id="rId1"/>
    <sheet name="Campaign(Solved)" sheetId="2" r:id="rId2"/>
    <sheet name="Audience(Solved)" sheetId="3" r:id="rId3"/>
    <sheet name="Dropout(Solve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4" l="1"/>
  <c r="E6" i="4"/>
  <c r="E5" i="4"/>
  <c r="E4" i="4"/>
  <c r="E3" i="4"/>
  <c r="E2" i="4"/>
</calcChain>
</file>

<file path=xl/sharedStrings.xml><?xml version="1.0" encoding="utf-8"?>
<sst xmlns="http://schemas.openxmlformats.org/spreadsheetml/2006/main" count="46" uniqueCount="37">
  <si>
    <t>City</t>
  </si>
  <si>
    <t>Reach</t>
  </si>
  <si>
    <t>Registrations</t>
  </si>
  <si>
    <t>Completion Rate (%)</t>
  </si>
  <si>
    <t>Manchester</t>
  </si>
  <si>
    <t>Bristol</t>
  </si>
  <si>
    <t>Leeds</t>
  </si>
  <si>
    <t>Glasgow</t>
  </si>
  <si>
    <t>Liverpool</t>
  </si>
  <si>
    <t>Birmingham</t>
  </si>
  <si>
    <t>Age Group</t>
  </si>
  <si>
    <t>18-24</t>
  </si>
  <si>
    <t>25-34</t>
  </si>
  <si>
    <t>35-44</t>
  </si>
  <si>
    <t>45-54</t>
  </si>
  <si>
    <t>55-64</t>
  </si>
  <si>
    <t>65+</t>
  </si>
  <si>
    <t>Registered</t>
  </si>
  <si>
    <t>Completed</t>
  </si>
  <si>
    <t>Dropouts</t>
  </si>
  <si>
    <t>Dropout Rate (%)</t>
  </si>
  <si>
    <t>Day 22 Solution - Data Visualisation (Advanced)</t>
  </si>
  <si>
    <t>Scenario: 6-city public health / mental wellbeing awareness campaign. Stakeholders want to know (1) which cities have the highest reach, (2) whether registrants complete their appointments, (3) which age groups engage most, and (4) any red flags. Each of the three data tabs answers one of these questions, so the 5 instruction tasks below are applied to a chart built on every tab.</t>
  </si>
  <si>
    <t>Task 1 - Bar charts to compare city-level engagement</t>
  </si>
  <si>
    <t>Clustered/simple bar charts built on 'campaign_engagement (Solved)' (Reach by city) and 'dropout_analysis (Solved)' (Registered vs Completed by city, combo chart). Answers: which cities have the highest reach? -&gt; Birmingham (3,600). Lowest reach -&gt; Glasgow (2,750).</t>
  </si>
  <si>
    <t>Task 2 - Colour intentionally to highlight trends/outliers</t>
  </si>
  <si>
    <t>Bars are neutral blue (4472C4) by default. The top performer in each chart is picked out in green (2E7D32) and the weakest in amber/red. Outlier flagged: Glasgow has the highest dropout rate at 42% (line marker coloured red in the combo chart) - the clearest red flag in the dataset.</t>
  </si>
  <si>
    <t>Task 3 - Sort data so high-performing categories are easier to spot</t>
  </si>
  <si>
    <t>'campaign_engagement (Solved)' sorted by Reach, descending. 'audience_by_age (Solved)' sorted by Completion Rate (%), descending. 'dropout_analysis (Solved)' sorted by Dropout Rate (%), ascending, so the best-performing city (lowest dropout) is first and the outlier is last.</t>
  </si>
  <si>
    <t>Task 4 - Remove gridlines and clutter to keep visuals clean</t>
  </si>
  <si>
    <t>Major gridlines removed from every chart axis, series borders removed (solid fill only, no outline), legends placed below the plot area only where more than one series is shown.</t>
  </si>
  <si>
    <t>Task 5 - Add clear chart titles and subtitles</t>
  </si>
  <si>
    <t>Each chart uses a bold main title plus a smaller italic subtitle line (two-paragraph rich text) that states the takeaway in plain English, e.g. 'Birmingham leads on reach' rather than just 'Reach by City'.</t>
  </si>
  <si>
    <t>Chart-by-chart summary</t>
  </si>
  <si>
    <t>Chart 1 (sheet 'campaign_engagement (Solved)'): Bar chart, Reach by City, sorted descending. Highest reach: Birmingham (3,600), highlighted green. Lowest reach: Glasgow (2,750), highlighted amber.</t>
  </si>
  <si>
    <t>Chart 2 (sheet 'dropout_analysis (Solved)'): Combo chart - Registered and Completed as clustered bars (primary axis), Dropout Rate (%) as a line on the secondary axis, sorted ascending by dropout rate. Best: Birmingham (29% dropout). Red-flag outlier: Glasgow (42% dropout), marker coloured red.</t>
  </si>
  <si>
    <t>Chart 3 (sheet 'audience_by_age (Solved)'): Bar chart, Completion Rate (%) by Age Group, sorted descending. Most engaged: 25-34 (72%), highlighted green. Least engaged: 65+ (49%), highlighted amber - a red flag for outreach to older age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</si>
</sst>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6"/>
      <name val="Calibri"/>
    </font>
    <font>
      <b/>
      <sz val="11"/>
      <color rgb="FF1F3864"/>
      <name val="Calibri"/>
    </font>
    <font>
      <b/>
      <sz val="13"/>
      <name val="Calibri"/>
    </font>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8">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9" fontId="0" fillId="0" borderId="1" xfId="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Campaign</a:t>
            </a:r>
            <a:r>
              <a:rPr lang="en-US" b="1" baseline="0"/>
              <a:t> </a:t>
            </a:r>
            <a:r>
              <a:rPr lang="en-US" b="1"/>
              <a:t>Reach</a:t>
            </a:r>
            <a:r>
              <a:rPr lang="en-US" b="1" baseline="0"/>
              <a:t> by City</a:t>
            </a:r>
          </a:p>
          <a:p>
            <a:pPr algn="ctr">
              <a:defRPr b="1"/>
            </a:pPr>
            <a:r>
              <a:rPr lang="en-US" b="1" baseline="0"/>
              <a:t>Birmingham leads with 3600 and Glasgow trails at 2750</a:t>
            </a:r>
          </a:p>
        </c:rich>
      </c:tx>
      <c:layout>
        <c:manualLayout>
          <c:xMode val="edge"/>
          <c:yMode val="edge"/>
          <c:x val="0.20782711722163252"/>
          <c:y val="2.6771350812982288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'Campaign(Solved)'!$B$1</c:f>
              <c:strCache>
                <c:ptCount val="1"/>
                <c:pt idx="0">
                  <c:v>Reach</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77DE-4CB4-8934-51A2E0E951D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1-60D2-44F8-9D79-CD51225B2D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'Campaign(Solved)'!$A$2:$A$7</c:f>
              <c:strCache>
                <c:ptCount val="6"/>
                <c:pt idx="0">
                  <c:v>Birmingham</c:v>
                </c:pt>
                <c:pt idx="1">
                  <c:v>Bristol</c:v>
                </c:pt>
                <c:pt idx="2">
                  <c:v>Glasgow</c:v>
                </c:pt>
                <c:pt idx="3">
                  <c:v>Leeds</c:v>
                </c:pt>
                <c:pt idx="4">
                  <c:v>Liverpool</c:v>
                </c:pt>
                <c:pt idx="5">
                  <c:v>Manchester</c:v>
                </c:pt>
              </c:strCache>
            </c:strRef>
          </c:cat>
          <c:val>
            <c:numRef>
              <c:f>'Campaign(Solved)'!$B$2:$B$7</c:f>
              <c:numCache>
                <c:formatCode>General</c:formatCode>
                <c:ptCount val="6"/>
                <c:pt idx="0">
                  <c:v>3600</c:v>
                </c:pt>
                <c:pt idx="1">
                  <c:v>3400</c:v>
                </c:pt>
                <c:pt idx="2">
                  <c:v>3200</c:v>
                </c:pt>
                <c:pt idx="3">
                  <c:v>3100</c:v>
                </c:pt>
                <c:pt idx="4">
                  <c:v>2900</c:v>
                </c:pt>
                <c:pt idx="5">
                  <c:v>2750</c:v>
                </c:pt>
              </c:numCache>
            </c:numRef>
          </c:val>
          <c:extLst>
            <c:ext xmlns:c16="http://schemas.microsoft.com/office/drawing/2014/chart" uri="{C3380CC4-5D6E-409C-BE32-E72D297353CC}">
              <c16:uniqueId val="{00000000-60D2-44F8-9D79-CD51225B2D4A}"/>
            </c:ext>
          </c:extLst>
        </c:ser>
        <c:dLbls>
          <c:dLblPos val="outEnd"/>
          <c:showLegendKey val="0"/>
          <c:showVal val="1"/>
          <c:showCatName val="0"/>
          <c:showSerName val="0"/>
          <c:showPercent val="0"/>
          <c:showBubbleSize val="0"/>
        </c:dLbls>
        <c:gapWidth val="219"/>
        <c:overlap val="-27"/>
        <c:axId val="1206856048"/>
        <c:axId val="1154865872"/>
      </c:barChart>
      <c:catAx>
        <c:axId val="12068560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City</a:t>
                </a:r>
              </a:p>
            </c:rich>
          </c:tx>
          <c:layout>
            <c:manualLayout>
              <c:xMode val="edge"/>
              <c:yMode val="edge"/>
              <c:x val="0.51915859655474095"/>
              <c:y val="0.898688572232969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4865872"/>
        <c:crosses val="autoZero"/>
        <c:auto val="1"/>
        <c:lblAlgn val="ctr"/>
        <c:lblOffset val="100"/>
        <c:noMultiLvlLbl val="0"/>
      </c:catAx>
      <c:valAx>
        <c:axId val="115486587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Reach</a:t>
                </a:r>
              </a:p>
            </c:rich>
          </c:tx>
          <c:layout>
            <c:manualLayout>
              <c:xMode val="edge"/>
              <c:yMode val="edge"/>
              <c:x val="1.3514454893765239E-2"/>
              <c:y val="0.4166819545480690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856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by Age Group</a:t>
            </a:r>
          </a:p>
          <a:p>
            <a:pPr>
              <a:defRPr b="1"/>
            </a:pPr>
            <a:r>
              <a:rPr lang="en-IN" b="1" baseline="0"/>
              <a:t>25-34 completes most (72%); 65+ least one(49%) - a red flag for outreach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8046-4081-B9AD-2DB7A369050B}"/>
              </c:ext>
            </c:extLst>
          </c:dPt>
          <c:dPt>
            <c:idx val="5"/>
            <c:invertIfNegative val="0"/>
            <c:bubble3D val="0"/>
            <c:spPr>
              <a:solidFill>
                <a:srgbClr val="FFC000"/>
              </a:solidFill>
              <a:ln>
                <a:noFill/>
              </a:ln>
              <a:effectLst/>
            </c:spPr>
            <c:extLst>
              <c:ext xmlns:c16="http://schemas.microsoft.com/office/drawing/2014/chart" uri="{C3380CC4-5D6E-409C-BE32-E72D297353CC}">
                <c16:uniqueId val="{00000001-8046-4081-B9AD-2DB7A36905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'Audience(Solved)'!$A$2:$A$7</c:f>
              <c:strCache>
                <c:ptCount val="6"/>
                <c:pt idx="0">
                  <c:v>25-34</c:v>
                </c:pt>
                <c:pt idx="1">
                  <c:v>35-44</c:v>
                </c:pt>
                <c:pt idx="2">
                  <c:v>18-24</c:v>
                </c:pt>
                <c:pt idx="3">
                  <c:v>45-54</c:v>
                </c:pt>
                <c:pt idx="4">
                  <c:v>55-64</c:v>
                </c:pt>
                <c:pt idx="5">
                  <c:v>65+</c:v>
                </c:pt>
              </c:strCache>
            </c:strRef>
          </c:cat>
          <c:val>
            <c:numRef>
              <c:f>'Audience(Solved)'!$C$2:$C$7</c:f>
              <c:numCache>
                <c:formatCode>General</c:formatCode>
                <c:ptCount val="6"/>
                <c:pt idx="0">
                  <c:v>72</c:v>
                </c:pt>
                <c:pt idx="1">
                  <c:v>66</c:v>
                </c:pt>
                <c:pt idx="2">
                  <c:v>60</c:v>
                </c:pt>
                <c:pt idx="3">
                  <c:v>58</c:v>
                </c:pt>
                <c:pt idx="4">
                  <c:v>52</c:v>
                </c:pt>
                <c:pt idx="5">
                  <c:v>49</c:v>
                </c:pt>
              </c:numCache>
            </c:numRef>
          </c:val>
          <c:extLst>
            <c:ext xmlns:c16="http://schemas.microsoft.com/office/drawing/2014/chart" uri="{C3380CC4-5D6E-409C-BE32-E72D297353CC}">
              <c16:uniqueId val="{00000000-8046-4081-B9AD-2DB7A369050B}"/>
            </c:ext>
          </c:extLst>
        </c:ser>
        <c:dLbls>
          <c:dLblPos val="outEnd"/>
          <c:showLegendKey val="0"/>
          <c:showVal val="1"/>
          <c:showCatName val="0"/>
          <c:showSerName val="0"/>
          <c:showPercent val="0"/>
          <c:showBubbleSize val="0"/>
        </c:dLbls>
        <c:gapWidth val="219"/>
        <c:overlap val="-27"/>
        <c:axId val="1232534800"/>
        <c:axId val="1312064752"/>
      </c:barChart>
      <c:catAx>
        <c:axId val="123253480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Group</a:t>
                </a:r>
                <a:endParaRPr lang="en-IN" b="1"/>
              </a:p>
            </c:rich>
          </c:tx>
          <c:layout>
            <c:manualLayout>
              <c:xMode val="edge"/>
              <c:yMode val="edge"/>
              <c:x val="0.46673607817095153"/>
              <c:y val="0.89562294363916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064752"/>
        <c:crosses val="autoZero"/>
        <c:auto val="1"/>
        <c:lblAlgn val="ctr"/>
        <c:lblOffset val="100"/>
        <c:noMultiLvlLbl val="0"/>
      </c:catAx>
      <c:valAx>
        <c:axId val="13120647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Completion</a:t>
                </a:r>
                <a:r>
                  <a:rPr lang="en-IN" b="1" baseline="0"/>
                  <a:t> Rate(%)</a:t>
                </a:r>
                <a:endParaRPr lang="en-IN" b="1"/>
              </a:p>
            </c:rich>
          </c:tx>
          <c:layout>
            <c:manualLayout>
              <c:xMode val="edge"/>
              <c:yMode val="edge"/>
              <c:x val="1.4260249554367201E-2"/>
              <c:y val="0.2962952399384746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2534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Registrations</a:t>
            </a:r>
            <a:r>
              <a:rPr lang="en-IN" b="1" baseline="0"/>
              <a:t> vs Completions by City</a:t>
            </a:r>
          </a:p>
          <a:p>
            <a:pPr>
              <a:defRPr/>
            </a:pPr>
            <a:r>
              <a:rPr lang="en-IN" b="1" baseline="0"/>
              <a:t>Dropout rate(line) flags Glasgow as the outlier at 42%</a:t>
            </a:r>
            <a:endParaRPr lang="en-IN" b="1"/>
          </a:p>
        </c:rich>
      </c:tx>
      <c:layout>
        <c:manualLayout>
          <c:xMode val="edge"/>
          <c:yMode val="edge"/>
          <c:x val="1.3610473663706449E-2"/>
          <c:y val="5.212752817662497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4.9277575405999495E-2"/>
          <c:y val="0.22038803973032781"/>
          <c:w val="0.83540989526905007"/>
          <c:h val="0.64943209304719274"/>
        </c:manualLayout>
      </c:layout>
      <c:barChart>
        <c:barDir val="col"/>
        <c:grouping val="clustered"/>
        <c:varyColors val="0"/>
        <c:ser>
          <c:idx val="0"/>
          <c:order val="0"/>
          <c:tx>
            <c:v>Registered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'Dropout(Solved)'!$A$2:$A$7</c:f>
              <c:strCache>
                <c:ptCount val="6"/>
                <c:pt idx="0">
                  <c:v>Birmingham</c:v>
                </c:pt>
                <c:pt idx="1">
                  <c:v>Manchester</c:v>
                </c:pt>
                <c:pt idx="2">
                  <c:v>Leeds</c:v>
                </c:pt>
                <c:pt idx="3">
                  <c:v>Liverpool</c:v>
                </c:pt>
                <c:pt idx="4">
                  <c:v>Bristol</c:v>
                </c:pt>
                <c:pt idx="5">
                  <c:v>Glasgow</c:v>
                </c:pt>
              </c:strCache>
            </c:strRef>
          </c:cat>
          <c:val>
            <c:numRef>
              <c:f>'Dropout(Solved)'!$B$2:$B$7</c:f>
              <c:numCache>
                <c:formatCode>General</c:formatCode>
                <c:ptCount val="6"/>
                <c:pt idx="0">
                  <c:v>2300</c:v>
                </c:pt>
                <c:pt idx="1">
                  <c:v>2100</c:v>
                </c:pt>
                <c:pt idx="2">
                  <c:v>1900</c:v>
                </c:pt>
                <c:pt idx="3">
                  <c:v>1850</c:v>
                </c:pt>
                <c:pt idx="4">
                  <c:v>1750</c:v>
                </c:pt>
                <c:pt idx="5">
                  <c:v>1600</c:v>
                </c:pt>
              </c:numCache>
            </c:numRef>
          </c:val>
          <c:extLst>
            <c:ext xmlns:c16="http://schemas.microsoft.com/office/drawing/2014/chart" uri="{C3380CC4-5D6E-409C-BE32-E72D297353CC}">
              <c16:uniqueId val="{00000000-D13A-470A-B491-64BBC74A3667}"/>
            </c:ext>
          </c:extLst>
        </c:ser>
        <c:ser>
          <c:idx val="1"/>
          <c:order val="1"/>
          <c:tx>
            <c:v>Completed</c:v>
          </c:tx>
          <c:spPr>
            <a:solidFill>
              <a:schemeClr val="accent2"/>
            </a:solidFill>
            <a:ln>
              <a:solidFill>
                <a:schemeClr val="bg1">
                  <a:lumMod val="50000"/>
                  <a:alpha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'Dropout(Solved)'!$A$2:$A$7</c:f>
              <c:strCache>
                <c:ptCount val="6"/>
                <c:pt idx="0">
                  <c:v>Birmingham</c:v>
                </c:pt>
                <c:pt idx="1">
                  <c:v>Manchester</c:v>
                </c:pt>
                <c:pt idx="2">
                  <c:v>Leeds</c:v>
                </c:pt>
                <c:pt idx="3">
                  <c:v>Liverpool</c:v>
                </c:pt>
                <c:pt idx="4">
                  <c:v>Bristol</c:v>
                </c:pt>
                <c:pt idx="5">
                  <c:v>Glasgow</c:v>
                </c:pt>
              </c:strCache>
            </c:strRef>
          </c:cat>
          <c:val>
            <c:numRef>
              <c:f>'Dropout(Solved)'!$C$2:$C$7</c:f>
              <c:numCache>
                <c:formatCode>General</c:formatCode>
                <c:ptCount val="6"/>
                <c:pt idx="0">
                  <c:v>1633</c:v>
                </c:pt>
                <c:pt idx="1">
                  <c:v>1428</c:v>
                </c:pt>
                <c:pt idx="2">
                  <c:v>1235</c:v>
                </c:pt>
                <c:pt idx="3">
                  <c:v>1147</c:v>
                </c:pt>
                <c:pt idx="4">
                  <c:v>1068</c:v>
                </c:pt>
                <c:pt idx="5">
                  <c:v>928</c:v>
                </c:pt>
              </c:numCache>
            </c:numRef>
          </c:val>
          <c:extLst>
            <c:ext xmlns:c16="http://schemas.microsoft.com/office/drawing/2014/chart" uri="{C3380CC4-5D6E-409C-BE32-E72D297353CC}">
              <c16:uniqueId val="{00000001-D13A-470A-B491-64BBC74A3667}"/>
            </c:ext>
          </c:extLst>
        </c:ser>
        <c:dLbls>
          <c:showLegendKey val="0"/>
          <c:showVal val="1"/>
          <c:showCatName val="0"/>
          <c:showSerName val="0"/>
          <c:showPercent val="0"/>
          <c:showBubbleSize val="0"/>
        </c:dLbls>
        <c:gapWidth val="219"/>
        <c:overlap val="-27"/>
        <c:axId val="647527999"/>
        <c:axId val="707562191"/>
      </c:barChart>
      <c:lineChart>
        <c:grouping val="standard"/>
        <c:varyColors val="0"/>
        <c:ser>
          <c:idx val="2"/>
          <c:order val="2"/>
          <c:tx>
            <c:v>Dropout Rate%</c:v>
          </c:tx>
          <c:spPr>
            <a:ln w="41275" cap="rnd">
              <a:solidFill>
                <a:schemeClr val="bg1">
                  <a:lumMod val="50000"/>
                </a:schemeClr>
              </a:solidFill>
              <a:round/>
            </a:ln>
            <a:effectLst/>
          </c:spPr>
          <c:marker>
            <c:symbol val="circle"/>
            <c:size val="7"/>
            <c:spPr>
              <a:solidFill>
                <a:schemeClr val="bg1">
                  <a:lumMod val="50000"/>
                </a:schemeClr>
              </a:solidFill>
              <a:ln w="9525">
                <a:solidFill>
                  <a:schemeClr val="accent3"/>
                </a:solidFill>
              </a:ln>
              <a:effectLst/>
            </c:spPr>
          </c:marker>
          <c:dPt>
            <c:idx val="5"/>
            <c:marker>
              <c:symbol val="circle"/>
              <c:size val="7"/>
              <c:spPr>
                <a:solidFill>
                  <a:srgbClr val="FF0000"/>
                </a:solidFill>
                <a:ln w="9525">
                  <a:solidFill>
                    <a:schemeClr val="accent3"/>
                  </a:solidFill>
                </a:ln>
                <a:effectLst/>
              </c:spPr>
            </c:marker>
            <c:bubble3D val="0"/>
            <c:spPr>
              <a:ln w="50800" cap="rnd">
                <a:solidFill>
                  <a:srgbClr val="00B050"/>
                </a:solidFill>
                <a:round/>
              </a:ln>
              <a:effectLst/>
            </c:spPr>
            <c:extLst>
              <c:ext xmlns:c16="http://schemas.microsoft.com/office/drawing/2014/chart" uri="{C3380CC4-5D6E-409C-BE32-E72D297353CC}">
                <c16:uniqueId val="{00000003-D13A-470A-B491-64BBC74A3667}"/>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'Dropout(Solved)'!$A$2:$A$7</c:f>
              <c:strCache>
                <c:ptCount val="6"/>
                <c:pt idx="0">
                  <c:v>Birmingham</c:v>
                </c:pt>
                <c:pt idx="1">
                  <c:v>Manchester</c:v>
                </c:pt>
                <c:pt idx="2">
                  <c:v>Leeds</c:v>
                </c:pt>
                <c:pt idx="3">
                  <c:v>Liverpool</c:v>
                </c:pt>
                <c:pt idx="4">
                  <c:v>Bristol</c:v>
                </c:pt>
                <c:pt idx="5">
                  <c:v>Glasgow</c:v>
                </c:pt>
              </c:strCache>
            </c:strRef>
          </c:cat>
          <c:val>
            <c:numRef>
              <c:f>'Dropout(Solved)'!$E$2:$E$7</c:f>
              <c:numCache>
                <c:formatCode>0%</c:formatCode>
                <c:ptCount val="6"/>
                <c:pt idx="0">
                  <c:v>0.28999999999999998</c:v>
                </c:pt>
                <c:pt idx="1">
                  <c:v>0.32</c:v>
                </c:pt>
                <c:pt idx="2">
                  <c:v>0.35</c:v>
                </c:pt>
                <c:pt idx="3">
                  <c:v>0.38</c:v>
                </c:pt>
                <c:pt idx="4">
                  <c:v>0.39</c:v>
                </c:pt>
                <c:pt idx="5">
                  <c:v>0.42</c:v>
                </c:pt>
              </c:numCache>
            </c:numRef>
          </c:val>
          <c:smooth val="0"/>
          <c:extLst>
            <c:ext xmlns:c16="http://schemas.microsoft.com/office/drawing/2014/chart" uri="{C3380CC4-5D6E-409C-BE32-E72D297353CC}">
              <c16:uniqueId val="{00000002-D13A-470A-B491-64BBC74A3667}"/>
            </c:ext>
          </c:extLst>
        </c:ser>
        <c:dLbls>
          <c:showLegendKey val="0"/>
          <c:showVal val="1"/>
          <c:showCatName val="0"/>
          <c:showSerName val="0"/>
          <c:showPercent val="0"/>
          <c:showBubbleSize val="0"/>
        </c:dLbls>
        <c:marker val="1"/>
        <c:smooth val="0"/>
        <c:axId val="647545631"/>
        <c:axId val="707555951"/>
      </c:lineChart>
      <c:catAx>
        <c:axId val="64752799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sz="1050" b="1"/>
                  <a:t>City</a:t>
                </a:r>
              </a:p>
            </c:rich>
          </c:tx>
          <c:layout>
            <c:manualLayout>
              <c:xMode val="edge"/>
              <c:yMode val="edge"/>
              <c:x val="0.44263613175113675"/>
              <c:y val="0.9289117904379599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07562191"/>
        <c:crosses val="autoZero"/>
        <c:auto val="1"/>
        <c:lblAlgn val="ctr"/>
        <c:lblOffset val="100"/>
        <c:noMultiLvlLbl val="0"/>
      </c:catAx>
      <c:valAx>
        <c:axId val="707562191"/>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sz="1050" b="1"/>
                  <a:t>Dropout</a:t>
                </a:r>
                <a:r>
                  <a:rPr lang="en-IN" sz="1050" b="1" baseline="0"/>
                  <a:t> Rate(%)</a:t>
                </a:r>
                <a:endParaRPr lang="en-IN" sz="1050" b="1"/>
              </a:p>
            </c:rich>
          </c:tx>
          <c:layout>
            <c:manualLayout>
              <c:xMode val="edge"/>
              <c:yMode val="edge"/>
              <c:x val="2.6994878619587503E-2"/>
              <c:y val="0.43702768771550615"/>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47527999"/>
        <c:crosses val="autoZero"/>
        <c:crossBetween val="between"/>
      </c:valAx>
      <c:valAx>
        <c:axId val="707555951"/>
        <c:scaling>
          <c:orientation val="minMax"/>
          <c:max val="100"/>
        </c:scaling>
        <c:delete val="0"/>
        <c:axPos val="r"/>
        <c:title>
          <c:tx>
            <c:rich>
              <a:bodyPr rot="-54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r>
                  <a:rPr lang="en-IN" sz="1050" b="1"/>
                  <a:t>People</a:t>
                </a:r>
              </a:p>
            </c:rich>
          </c:tx>
          <c:layout>
            <c:manualLayout>
              <c:xMode val="edge"/>
              <c:yMode val="edge"/>
              <c:x val="0.95233504804315483"/>
              <c:y val="0.48538675312644747"/>
            </c:manualLayout>
          </c:layout>
          <c:overlay val="0"/>
          <c:spPr>
            <a:noFill/>
            <a:ln>
              <a:noFill/>
            </a:ln>
            <a:effectLst/>
          </c:spPr>
          <c:txPr>
            <a:bodyPr rot="-54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one"/>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47545631"/>
        <c:crosses val="max"/>
        <c:crossBetween val="between"/>
      </c:valAx>
      <c:catAx>
        <c:axId val="647545631"/>
        <c:scaling>
          <c:orientation val="minMax"/>
        </c:scaling>
        <c:delete val="1"/>
        <c:axPos val="b"/>
        <c:numFmt formatCode="General" sourceLinked="1"/>
        <c:majorTickMark val="out"/>
        <c:minorTickMark val="none"/>
        <c:tickLblPos val="nextTo"/>
        <c:crossAx val="707555951"/>
        <c:crosses val="autoZero"/>
        <c:auto val="1"/>
        <c:lblAlgn val="ctr"/>
        <c:lblOffset val="100"/>
        <c:noMultiLvlLbl val="0"/>
      </c:catAx>
      <c:spPr>
        <a:noFill/>
        <a:ln>
          <a:noFill/>
        </a:ln>
        <a:effectLst/>
      </c:spPr>
    </c:plotArea>
    <c:legend>
      <c:legendPos val="b"/>
      <c:layout>
        <c:manualLayout>
          <c:xMode val="edge"/>
          <c:yMode val="edge"/>
          <c:x val="0.70265851113139566"/>
          <c:y val="1.7331326231279916E-2"/>
          <c:w val="0.27428432903091882"/>
          <c:h val="0.1605622458957336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16</xdr:col>
      <xdr:colOff>586740</xdr:colOff>
      <xdr:row>22</xdr:row>
      <xdr:rowOff>11430</xdr:rowOff>
    </xdr:to>
    <xdr:graphicFrame macro="">
      <xdr:nvGraphicFramePr>
        <xdr:cNvPr id="2" name="Chart 1">
          <a:extLst>
            <a:ext uri="{FF2B5EF4-FFF2-40B4-BE49-F238E27FC236}">
              <a16:creationId xmlns:a16="http://schemas.microsoft.com/office/drawing/2014/main" id="{D3D86F64-4454-C8FF-3F7D-7EDC1FC4F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6</xdr:row>
      <xdr:rowOff>171450</xdr:rowOff>
    </xdr:from>
    <xdr:to>
      <xdr:col>15</xdr:col>
      <xdr:colOff>426720</xdr:colOff>
      <xdr:row>24</xdr:row>
      <xdr:rowOff>167640</xdr:rowOff>
    </xdr:to>
    <xdr:graphicFrame macro="">
      <xdr:nvGraphicFramePr>
        <xdr:cNvPr id="4" name="Chart 3">
          <a:extLst>
            <a:ext uri="{FF2B5EF4-FFF2-40B4-BE49-F238E27FC236}">
              <a16:creationId xmlns:a16="http://schemas.microsoft.com/office/drawing/2014/main" id="{9D5C1785-86D8-9D84-E0ED-4080FB045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411480</xdr:colOff>
      <xdr:row>2</xdr:row>
      <xdr:rowOff>45720</xdr:rowOff>
    </xdr:from>
    <xdr:to>
      <xdr:col>17</xdr:col>
      <xdr:colOff>129540</xdr:colOff>
      <xdr:row>23</xdr:row>
      <xdr:rowOff>91440</xdr:rowOff>
    </xdr:to>
    <xdr:graphicFrame macro="">
      <xdr:nvGraphicFramePr>
        <xdr:cNvPr id="4" name="Chart 3">
          <a:extLst>
            <a:ext uri="{FF2B5EF4-FFF2-40B4-BE49-F238E27FC236}">
              <a16:creationId xmlns:a16="http://schemas.microsoft.com/office/drawing/2014/main" id="{92CE1A02-CA60-4EB3-C726-FDB5AD5B2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A061-0261-413E-8D20-DE79E45EEF5F}">
  <dimension ref="A1:A23"/>
  <sheetViews>
    <sheetView workbookViewId="0">
      <selection activeCell="A5" sqref="A5"/>
    </sheetView>
  </sheetViews>
  <sheetFormatPr defaultRowHeight="14.4" x14ac:dyDescent="0.3"/>
  <cols>
    <col min="1" max="1" width="91" customWidth="1"/>
  </cols>
  <sheetData>
    <row r="1" spans="1:1" ht="21" x14ac:dyDescent="0.4">
      <c r="A1" s="3" t="s">
        <v>21</v>
      </c>
    </row>
    <row r="3" spans="1:1" ht="57.6" x14ac:dyDescent="0.3">
      <c r="A3" s="4" t="s">
        <v>22</v>
      </c>
    </row>
    <row r="5" spans="1:1" x14ac:dyDescent="0.3">
      <c r="A5" s="5" t="s">
        <v>23</v>
      </c>
    </row>
    <row r="6" spans="1:1" ht="43.2" x14ac:dyDescent="0.3">
      <c r="A6" s="4" t="s">
        <v>24</v>
      </c>
    </row>
    <row r="8" spans="1:1" x14ac:dyDescent="0.3">
      <c r="A8" s="5" t="s">
        <v>25</v>
      </c>
    </row>
    <row r="9" spans="1:1" ht="43.2" x14ac:dyDescent="0.3">
      <c r="A9" s="4" t="s">
        <v>26</v>
      </c>
    </row>
    <row r="11" spans="1:1" x14ac:dyDescent="0.3">
      <c r="A11" s="5" t="s">
        <v>27</v>
      </c>
    </row>
    <row r="12" spans="1:1" ht="43.2" x14ac:dyDescent="0.3">
      <c r="A12" s="4" t="s">
        <v>28</v>
      </c>
    </row>
    <row r="14" spans="1:1" x14ac:dyDescent="0.3">
      <c r="A14" s="5" t="s">
        <v>29</v>
      </c>
    </row>
    <row r="15" spans="1:1" ht="28.8" x14ac:dyDescent="0.3">
      <c r="A15" s="4" t="s">
        <v>30</v>
      </c>
    </row>
    <row r="17" spans="1:1" x14ac:dyDescent="0.3">
      <c r="A17" s="5" t="s">
        <v>31</v>
      </c>
    </row>
    <row r="18" spans="1:1" ht="28.8" x14ac:dyDescent="0.3">
      <c r="A18" s="4" t="s">
        <v>32</v>
      </c>
    </row>
    <row r="20" spans="1:1" ht="17.399999999999999" x14ac:dyDescent="0.35">
      <c r="A20" s="6" t="s">
        <v>33</v>
      </c>
    </row>
    <row r="21" spans="1:1" ht="28.8" x14ac:dyDescent="0.3">
      <c r="A21" s="4" t="s">
        <v>34</v>
      </c>
    </row>
    <row r="22" spans="1:1" ht="43.2" x14ac:dyDescent="0.3">
      <c r="A22" s="4" t="s">
        <v>35</v>
      </c>
    </row>
    <row r="23" spans="1:1" ht="43.2" x14ac:dyDescent="0.3">
      <c r="A23" s="4"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453E-2F2E-4F00-8D7B-B76439686C83}">
  <dimension ref="A1:D7"/>
  <sheetViews>
    <sheetView workbookViewId="0">
      <selection activeCell="A11" sqref="A11"/>
    </sheetView>
  </sheetViews>
  <sheetFormatPr defaultRowHeight="14.4" x14ac:dyDescent="0.3"/>
  <cols>
    <col min="1" max="1" width="18.21875" customWidth="1"/>
    <col min="2" max="2" width="9.6640625" customWidth="1"/>
    <col min="3" max="3" width="18.33203125" customWidth="1"/>
    <col min="4" max="4" width="17.88671875" customWidth="1"/>
  </cols>
  <sheetData>
    <row r="1" spans="1:4" x14ac:dyDescent="0.3">
      <c r="A1" s="1" t="s">
        <v>0</v>
      </c>
      <c r="B1" s="1" t="s">
        <v>1</v>
      </c>
      <c r="C1" s="1" t="s">
        <v>2</v>
      </c>
      <c r="D1" s="1" t="s">
        <v>3</v>
      </c>
    </row>
    <row r="2" spans="1:4" x14ac:dyDescent="0.3">
      <c r="A2" s="2" t="s">
        <v>9</v>
      </c>
      <c r="B2" s="2">
        <v>3600</v>
      </c>
      <c r="C2" s="2">
        <v>2300</v>
      </c>
      <c r="D2" s="2">
        <v>71</v>
      </c>
    </row>
    <row r="3" spans="1:4" x14ac:dyDescent="0.3">
      <c r="A3" s="2" t="s">
        <v>5</v>
      </c>
      <c r="B3" s="2">
        <v>3400</v>
      </c>
      <c r="C3" s="2">
        <v>2100</v>
      </c>
      <c r="D3" s="2">
        <v>68</v>
      </c>
    </row>
    <row r="4" spans="1:4" x14ac:dyDescent="0.3">
      <c r="A4" s="2" t="s">
        <v>7</v>
      </c>
      <c r="B4" s="2">
        <v>3200</v>
      </c>
      <c r="C4" s="2">
        <v>1900</v>
      </c>
      <c r="D4" s="2">
        <v>65</v>
      </c>
    </row>
    <row r="5" spans="1:4" x14ac:dyDescent="0.3">
      <c r="A5" s="2" t="s">
        <v>6</v>
      </c>
      <c r="B5" s="2">
        <v>3100</v>
      </c>
      <c r="C5" s="2">
        <v>1850</v>
      </c>
      <c r="D5" s="2">
        <v>62</v>
      </c>
    </row>
    <row r="6" spans="1:4" x14ac:dyDescent="0.3">
      <c r="A6" s="2" t="s">
        <v>8</v>
      </c>
      <c r="B6" s="2">
        <v>2900</v>
      </c>
      <c r="C6" s="2">
        <v>1750</v>
      </c>
      <c r="D6" s="2">
        <v>61</v>
      </c>
    </row>
    <row r="7" spans="1:4" x14ac:dyDescent="0.3">
      <c r="A7" s="2" t="s">
        <v>4</v>
      </c>
      <c r="B7" s="2">
        <v>2750</v>
      </c>
      <c r="C7" s="2">
        <v>1600</v>
      </c>
      <c r="D7" s="2">
        <v>58</v>
      </c>
    </row>
  </sheetData>
  <sortState xmlns:xlrd2="http://schemas.microsoft.com/office/spreadsheetml/2017/richdata2" ref="B2:D7">
    <sortCondition descending="1" ref="B2:B7"/>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5F5F-174A-4C3B-A855-896B9499B191}">
  <dimension ref="A1:C7"/>
  <sheetViews>
    <sheetView workbookViewId="0">
      <selection activeCell="N4" sqref="N4"/>
    </sheetView>
  </sheetViews>
  <sheetFormatPr defaultRowHeight="14.4" x14ac:dyDescent="0.3"/>
  <cols>
    <col min="1" max="1" width="13.77734375" customWidth="1"/>
    <col min="2" max="2" width="11.77734375" bestFit="1" customWidth="1"/>
    <col min="3" max="3" width="18.44140625" bestFit="1" customWidth="1"/>
  </cols>
  <sheetData>
    <row r="1" spans="1:3" x14ac:dyDescent="0.3">
      <c r="A1" s="1" t="s">
        <v>10</v>
      </c>
      <c r="B1" s="1" t="s">
        <v>2</v>
      </c>
      <c r="C1" s="1" t="s">
        <v>3</v>
      </c>
    </row>
    <row r="2" spans="1:3" x14ac:dyDescent="0.3">
      <c r="A2" s="2" t="s">
        <v>12</v>
      </c>
      <c r="B2" s="2">
        <v>1450</v>
      </c>
      <c r="C2" s="2">
        <v>72</v>
      </c>
    </row>
    <row r="3" spans="1:3" x14ac:dyDescent="0.3">
      <c r="A3" s="2" t="s">
        <v>13</v>
      </c>
      <c r="B3" s="2">
        <v>1100</v>
      </c>
      <c r="C3" s="2">
        <v>66</v>
      </c>
    </row>
    <row r="4" spans="1:3" x14ac:dyDescent="0.3">
      <c r="A4" s="2" t="s">
        <v>11</v>
      </c>
      <c r="B4" s="2">
        <v>1200</v>
      </c>
      <c r="C4" s="2">
        <v>60</v>
      </c>
    </row>
    <row r="5" spans="1:3" x14ac:dyDescent="0.3">
      <c r="A5" s="2" t="s">
        <v>14</v>
      </c>
      <c r="B5" s="2">
        <v>950</v>
      </c>
      <c r="C5" s="2">
        <v>58</v>
      </c>
    </row>
    <row r="6" spans="1:3" x14ac:dyDescent="0.3">
      <c r="A6" s="2" t="s">
        <v>15</v>
      </c>
      <c r="B6" s="2">
        <v>600</v>
      </c>
      <c r="C6" s="2">
        <v>52</v>
      </c>
    </row>
    <row r="7" spans="1:3" x14ac:dyDescent="0.3">
      <c r="A7" s="2" t="s">
        <v>16</v>
      </c>
      <c r="B7" s="2">
        <v>400</v>
      </c>
      <c r="C7" s="2">
        <v>49</v>
      </c>
    </row>
  </sheetData>
  <sortState xmlns:xlrd2="http://schemas.microsoft.com/office/spreadsheetml/2017/richdata2" ref="A2:C7">
    <sortCondition descending="1" ref="C2:C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ACB1-5E2C-4EAD-AD5B-58166F86EF97}">
  <dimension ref="A1:E7"/>
  <sheetViews>
    <sheetView tabSelected="1" workbookViewId="0">
      <selection activeCell="S6" sqref="S6"/>
    </sheetView>
  </sheetViews>
  <sheetFormatPr defaultRowHeight="14.4" x14ac:dyDescent="0.3"/>
  <cols>
    <col min="1" max="1" width="15" customWidth="1"/>
    <col min="2" max="2" width="9.77734375" bestFit="1" customWidth="1"/>
    <col min="3" max="3" width="10.21875" bestFit="1" customWidth="1"/>
    <col min="4" max="4" width="8.77734375" bestFit="1" customWidth="1"/>
    <col min="5" max="5" width="15.5546875" bestFit="1" customWidth="1"/>
  </cols>
  <sheetData>
    <row r="1" spans="1:5" x14ac:dyDescent="0.3">
      <c r="A1" s="1" t="s">
        <v>0</v>
      </c>
      <c r="B1" s="1" t="s">
        <v>17</v>
      </c>
      <c r="C1" s="1" t="s">
        <v>18</v>
      </c>
      <c r="D1" s="1" t="s">
        <v>19</v>
      </c>
      <c r="E1" s="1" t="s">
        <v>20</v>
      </c>
    </row>
    <row r="2" spans="1:5" x14ac:dyDescent="0.3">
      <c r="A2" s="2" t="s">
        <v>9</v>
      </c>
      <c r="B2" s="2">
        <v>2300</v>
      </c>
      <c r="C2" s="2">
        <v>1633</v>
      </c>
      <c r="D2" s="2">
        <v>667</v>
      </c>
      <c r="E2" s="7">
        <f>2900%/100</f>
        <v>0.28999999999999998</v>
      </c>
    </row>
    <row r="3" spans="1:5" x14ac:dyDescent="0.3">
      <c r="A3" s="2" t="s">
        <v>4</v>
      </c>
      <c r="B3" s="2">
        <v>2100</v>
      </c>
      <c r="C3" s="2">
        <v>1428</v>
      </c>
      <c r="D3" s="2">
        <v>672</v>
      </c>
      <c r="E3" s="7">
        <f>3200%/100</f>
        <v>0.32</v>
      </c>
    </row>
    <row r="4" spans="1:5" x14ac:dyDescent="0.3">
      <c r="A4" s="2" t="s">
        <v>6</v>
      </c>
      <c r="B4" s="2">
        <v>1900</v>
      </c>
      <c r="C4" s="2">
        <v>1235</v>
      </c>
      <c r="D4" s="2">
        <v>665</v>
      </c>
      <c r="E4" s="7">
        <f>3500%/100</f>
        <v>0.35</v>
      </c>
    </row>
    <row r="5" spans="1:5" x14ac:dyDescent="0.3">
      <c r="A5" s="2" t="s">
        <v>8</v>
      </c>
      <c r="B5" s="2">
        <v>1850</v>
      </c>
      <c r="C5" s="2">
        <v>1147</v>
      </c>
      <c r="D5" s="2">
        <v>703</v>
      </c>
      <c r="E5" s="7">
        <f>3800%/100</f>
        <v>0.38</v>
      </c>
    </row>
    <row r="6" spans="1:5" x14ac:dyDescent="0.3">
      <c r="A6" s="2" t="s">
        <v>5</v>
      </c>
      <c r="B6" s="2">
        <v>1750</v>
      </c>
      <c r="C6" s="2">
        <v>1068</v>
      </c>
      <c r="D6" s="2">
        <v>682</v>
      </c>
      <c r="E6" s="7">
        <f>3900%/100</f>
        <v>0.39</v>
      </c>
    </row>
    <row r="7" spans="1:5" x14ac:dyDescent="0.3">
      <c r="A7" s="2" t="s">
        <v>7</v>
      </c>
      <c r="B7" s="2">
        <v>1600</v>
      </c>
      <c r="C7" s="2">
        <v>928</v>
      </c>
      <c r="D7" s="2">
        <v>672</v>
      </c>
      <c r="E7" s="7">
        <f>4200%/100</f>
        <v>0.42</v>
      </c>
    </row>
  </sheetData>
  <sortState xmlns:xlrd2="http://schemas.microsoft.com/office/spreadsheetml/2017/richdata2" ref="A2:E7">
    <sortCondition ref="E2:E7"/>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Solution</vt:lpstr>
      <vt:lpstr>Campaign(Solved)</vt:lpstr>
      <vt:lpstr>Audience(Solved)</vt:lpstr>
      <vt:lpstr>Dropout(Solved)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2026-10-13T10:17:15Z</dcterms:created>
  <dcterms:modified xsi:type="dcterms:W3CDTF">2026-10-14T18:43:27Z</dcterms:modified>
</cp:coreProperties>
</file>
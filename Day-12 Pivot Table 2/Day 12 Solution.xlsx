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2\"/>
    </mc:Choice>
  </mc:AlternateContent>
  <xr:revisionPtr revIDLastSave="0" documentId="13_ncr:1_{D621521C-A324-4E2C-B6A1-EAD0C0F1BF55}" xr6:coauthVersionLast="47" xr6:coauthVersionMax="47" xr10:uidLastSave="{00000000-0000-0000-0000-000000000000}"/>
  <bookViews>
    <workbookView xWindow="-108" yWindow="-108" windowWidth="23256" windowHeight="12456" activeTab="2" xr2:uid="{3F2BB6E6-136B-44A8-923E-364E70966E8D}"/>
  </bookViews>
  <sheets>
    <sheet name="Solution" sheetId="1" r:id="rId1"/>
    <sheet name="Modified Dataset " sheetId="2" r:id="rId2"/>
    <sheet name="Pivot Solution" sheetId="3" r:id="rId3"/>
  </sheets>
  <definedNames>
    <definedName name="NativeTimeline_Date_Submitted">#N/A</definedName>
  </definedNames>
  <calcPr calcId="191029"/>
  <pivotCaches>
    <pivotCache cacheId="25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<sst xmlns="http://schemas.openxmlformats.org/spreadsheetml/2006/main" count="812" uniqueCount="198">
  <si>
    <t>Ticket ID</t>
  </si>
  <si>
    <t>Date Submitted</t>
  </si>
  <si>
    <t>Issue Type</t>
  </si>
  <si>
    <t>Priority</t>
  </si>
  <si>
    <t>Platform</t>
  </si>
  <si>
    <t>Category</t>
  </si>
  <si>
    <t>Status</t>
  </si>
  <si>
    <t>Time to Resolution (hrs)</t>
  </si>
  <si>
    <t>User Rating (1-5)</t>
  </si>
  <si>
    <t>T0001</t>
  </si>
  <si>
    <t>Login Issue</t>
  </si>
  <si>
    <t>Urgent</t>
  </si>
  <si>
    <t>Web</t>
  </si>
  <si>
    <t>General Inquiry</t>
  </si>
  <si>
    <t>Closed</t>
  </si>
  <si>
    <t>T0002</t>
  </si>
  <si>
    <t>Payment Error</t>
  </si>
  <si>
    <t>Low</t>
  </si>
  <si>
    <t>Account Management</t>
  </si>
  <si>
    <t>Resolved</t>
  </si>
  <si>
    <t>T0003</t>
  </si>
  <si>
    <t>Medium</t>
  </si>
  <si>
    <t>Android</t>
  </si>
  <si>
    <t>In Progress</t>
  </si>
  <si>
    <t>T0004</t>
  </si>
  <si>
    <t>Feature Request</t>
  </si>
  <si>
    <t>Billing</t>
  </si>
  <si>
    <t>T0005</t>
  </si>
  <si>
    <t>Bug Report</t>
  </si>
  <si>
    <t>T0006</t>
  </si>
  <si>
    <t>T0007</t>
  </si>
  <si>
    <t>High</t>
  </si>
  <si>
    <t>iOS</t>
  </si>
  <si>
    <t>Technical</t>
  </si>
  <si>
    <t>T0008</t>
  </si>
  <si>
    <t>T0009</t>
  </si>
  <si>
    <t>Account Suspension</t>
  </si>
  <si>
    <t>T0010</t>
  </si>
  <si>
    <t>Performance Lag</t>
  </si>
  <si>
    <t>UX/UI</t>
  </si>
  <si>
    <t>Open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</si>
  <si>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</si>
  <si>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</si>
  <si>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</si>
  <si>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</si>
  <si>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</si>
  <si>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</si>
  <si>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</si>
  <si>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</si>
  <si>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</si>
  <si>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</si>
  <si>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</si>
  <si>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</si>
  <si>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</si>
  <si>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</si>
  <si>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</si>
  <si>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</si>
  <si>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</si>
  <si>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</si>
  <si>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</si>
  <si>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</si>
  <si>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</si>
  <si>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</si>
  <si>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</si>
  <si>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</si>
  <si>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</si>
  <si>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</si>
  <si>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</si>
  <si>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</si>
  <si>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</si>
  <si>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</si>
  <si>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</si>
  <si>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</si>
  <si>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</si>
  <si>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</si>
  <si>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</si>
  <si>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</si>
  <si>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</si>
  <si>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</si>
  <si>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</si>
  <si>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</si>
  <si>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</si>
  <si>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</si>
  <si>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</si>
  <si>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</si>
  <si>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</si>
  <si>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</si>
  <si>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</si>
  <si>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</si>
  <si>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</si>
  <si>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</si>
  <si>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</si>
  <si>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</si>
  <si>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</si>
  <si>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</si>
  <si>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</si>
  <si>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</si>
  <si>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</si>
  <si>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</si>
  <si>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</si>
  <si>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</si>
  <si>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</si>
  <si>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</si>
  <si>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</si>
  <si>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</si>
  <si>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</si>
  <si>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</si>
  <si>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</si>
  <si>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</si>
  <si>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</si>
  <si>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</si>
  <si>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</si>
  <si>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</si>
  <si>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</si>
  <si>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</si>
  <si>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</si>
  <si>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</si>
  <si>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</si>
  <si>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</si>
  <si>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</si>
  <si>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</si>
  <si>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</si>
  <si>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</si>
  <si>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</si>
  <si>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</si>
  <si>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</si>
  <si>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</si>
  <si>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</si>
  <si>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</si>
  <si>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</si>
  <si>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</si>
  <si>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Most Common Issue Types</t>
  </si>
  <si>
    <t>Count of Ticket ID</t>
  </si>
  <si>
    <t>Number of ID</t>
  </si>
  <si>
    <t>Platform Generating Most Tickets</t>
  </si>
  <si>
    <t>Average of Time to Resolution (hrs)</t>
  </si>
  <si>
    <t>Average Resolution Time by Priority</t>
  </si>
  <si>
    <t>Average of User Rating (1-5)</t>
  </si>
  <si>
    <t>Category with Lowest User Rating</t>
  </si>
  <si>
    <t>Month</t>
  </si>
  <si>
    <t>March</t>
  </si>
  <si>
    <t>January</t>
  </si>
  <si>
    <t>February</t>
  </si>
  <si>
    <t>Ticket Count by Month</t>
  </si>
  <si>
    <t>Months</t>
  </si>
  <si>
    <t>Sum of User Rating</t>
  </si>
  <si>
    <t>Sum Time to Resolution</t>
  </si>
  <si>
    <t>Calculated Field - Satisfaction per Hour</t>
  </si>
  <si>
    <t>Sum of Satisfaction Per Hour</t>
  </si>
  <si>
    <t>Day 12 Solution - Pivot Tables Part 2</t>
  </si>
  <si>
    <t>Task 1: Which issue types are reported most often?</t>
  </si>
  <si>
    <t>Pivot layout: Rows = Issue Type, Values = Count of Ticket ID</t>
  </si>
  <si>
    <t>Answer: See 'Pivot Results' B5:B10 - Account Suspension (19) is the most common, then Login Issue (18), Payment Error (17), Feature Request (16), Performance Lag (16), Bug Report (14).</t>
  </si>
  <si>
    <t>How to build in Excel:</t>
  </si>
  <si>
    <t xml:space="preserve">  1. Select any cell in the Dataset table -&gt; Insert -&gt; PivotTable -&gt; New Worksheet -&gt; OK.</t>
  </si>
  <si>
    <t xml:space="preserve">  2. Drag 'Issue Type' into the Rows area.</t>
  </si>
  <si>
    <t xml:space="preserve">  3. Drag 'Ticket ID' into the Values area (it defaults to Count for a text field).</t>
  </si>
  <si>
    <t xml:space="preserve">  4. Right-click a value in the pivot -&gt; Sort -&gt; Largest to Smallest to rank issue types.</t>
  </si>
  <si>
    <t>Task 2: Which platform generates the most support tickets?</t>
  </si>
  <si>
    <t>Pivot layout: Rows = Platform, Values = Count of Ticket ID</t>
  </si>
  <si>
    <t>Answer: See 'Pivot Results' B15:B17 - Android (36) generates the most tickets, ahead of Web (34) and iOS (30).</t>
  </si>
  <si>
    <t xml:space="preserve">  1. In the same or a new PivotTable, drag 'Platform' into Rows.</t>
  </si>
  <si>
    <t xml:space="preserve">  2. Drag 'Ticket ID' into Values (Count of Ticket ID).</t>
  </si>
  <si>
    <t xml:space="preserve">  3. Sort Largest to Smallest to see Android on top.</t>
  </si>
  <si>
    <t>Task 3: What's the average resolution time by priority?</t>
  </si>
  <si>
    <t>Pivot layout: Rows = Priority, Values = Average of Time to Resolution</t>
  </si>
  <si>
    <t>Answer: See 'Pivot Results' B22:B25 - High priority tickets take the longest to resolve on average (47.15 hrs), then Low (40.58), Medium (39.50), and Urgent is resolved fastest (35.04 hrs).</t>
  </si>
  <si>
    <t xml:space="preserve">  1. Drag 'Priority' into Rows.</t>
  </si>
  <si>
    <t xml:space="preserve">  2. Drag 'Time to Resolution (hrs)' into Values.</t>
  </si>
  <si>
    <t xml:space="preserve">  3. Click the Values field -&gt; Value Field Settings -&gt; Summarize Values By -&gt; Average.</t>
  </si>
  <si>
    <t xml:space="preserve">  4. Apply a Number Format of 2 decimal places from the same dialog.</t>
  </si>
  <si>
    <t>Task 4: Which ticket category has the lowest user rating?</t>
  </si>
  <si>
    <t>Pivot layout: Rows = Category, Values = Average of User Rating; Conditional Formatting applied</t>
  </si>
  <si>
    <t>Answer: See 'Pivot Results' B30:B34 - Billing has the lowest average user rating (2.54/5), followed by General Inquiry (2.89) and Technical/UX-UI (2.96 each); Account Management rates highest (3.06).</t>
  </si>
  <si>
    <t xml:space="preserve">  1. Drag 'Category' into Rows.</t>
  </si>
  <si>
    <t xml:space="preserve">  2. Drag 'User Rating (1-5)' into Values -&gt; Value Field Settings -&gt; Average, 2 decimal places.</t>
  </si>
  <si>
    <t xml:space="preserve">  3. Select the pivot's Average of User Rating column -&gt; Home -&gt; Conditional Formatting -&gt; Color Scales -&gt; Red - Yellow - Green (lowest rating shows red).</t>
  </si>
  <si>
    <t xml:space="preserve">  4. (Applied on 'Pivot Results'!B30:B34 as a live 3-colour scale rule in this workbook.)</t>
  </si>
  <si>
    <t>Task 5: How do ticket counts trend month-by-month?</t>
  </si>
  <si>
    <t>Pivot layout: Rows = Date Submitted (grouped by Month), Values = Count of Ticket ID</t>
  </si>
  <si>
    <t>Answer: See 'Pivot Results' B39:B41 - Jan 2025 (37 tickets) is the busiest month, tapering to Feb (31) then rising slightly to Mar (32).</t>
  </si>
  <si>
    <t xml:space="preserve">  1. Drag 'Date Submitted' into Rows.</t>
  </si>
  <si>
    <t xml:space="preserve">  2. Right-click any date in the Rows area -&gt; Group -&gt; select 'Months' (and 'Years' if the data spans multiple years) -&gt; OK.</t>
  </si>
  <si>
    <t xml:space="preserve">  3. Drag 'Ticket ID' into Values (Count of Ticket ID).</t>
  </si>
  <si>
    <t>Bonus 1: Add a Timeline to filter by date</t>
  </si>
  <si>
    <t>Pivot layout: Timeline control connected to the Date Submitted field</t>
  </si>
  <si>
    <t>Answer: A Timeline lets you drag a date range (day/month/quarter/year) to filter any pivot connected to it live; the dataset spans 2025-01-01 to 2025-03-31.</t>
  </si>
  <si>
    <t xml:space="preserve">  1. Click inside any PivotTable -&gt; PivotTable Analyze tab -&gt; Filter group -&gt; Insert Timeline.</t>
  </si>
  <si>
    <t xml:space="preserve">  2. Tick 'Date Submitted' -&gt; OK.</t>
  </si>
  <si>
    <t xml:space="preserve">  3. On the Timeline control, click the period selector (top-right) to switch between Years/Quarters/Months/Days, then drag the blue selector to filter the connected pivot(s).</t>
  </si>
  <si>
    <t xml:space="preserve">  4. To connect the same Timeline to multiple pivots, right-click it -&gt; Report Connections -&gt; tick every PivotTable built from this dataset.</t>
  </si>
  <si>
    <t>Bonus 2: Calculated field - Satisfaction per Hour (User Rating / Time to Resolution)</t>
  </si>
  <si>
    <t>Pivot layout: Calculated Field = 'User Rating (1-5)' / 'Time to Resolution (hrs)', shown by Issue Type</t>
  </si>
  <si>
    <t>Answer: See 'Pivot Results' rows 46-51 - a calculated field aggregates as SUM(User Rating) / SUM(Time to Resolution) per row group (not an average of pre-computed per-ticket ratios). By Issue Type, Feature Request has the best satisfaction-per-hour (0.0797), Performance Lag the worst (0.0631).</t>
  </si>
  <si>
    <t xml:space="preserve">  1. Click inside the PivotTable -&gt; PivotTable Analyze -&gt; Fields, Items &amp; Sets -&gt; Calculated Field.</t>
  </si>
  <si>
    <t xml:space="preserve">  2. Name: 'Satisfaction per Hour'. Formula: ='User Rating (1-5)'/'Time to Resolution (hrs)'.</t>
  </si>
  <si>
    <t xml:space="preserve">  3. Click Add -&gt; OK. The new field appears in the field list and can be dragged into Values.</t>
  </si>
  <si>
    <t xml:space="preserve">  4. Excel computes it per row group as SUM(User Rating)/SUM(Time to Resolution) - it is NOT the average of each ticket's individual ratio.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</si>
</sst>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9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2"/>
      <color rgb="FF1F4E78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42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5447"/>
        </patternFill>
      </fill>
    </dxf>
    <dxf>
      <fill>
        <patternFill patternType="solid">
          <bgColor rgb="FFFF544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000"/>
    </dxf>
    <dxf>
      <numFmt numFmtId="168" formatCode="0.00000"/>
    </dxf>
    <dxf>
      <numFmt numFmtId="169" formatCode="0.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0.00000"/>
    </dxf>
    <dxf>
      <numFmt numFmtId="167" formatCode="0.00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000"/>
    </dxf>
    <dxf>
      <numFmt numFmtId="166" formatCode="0.000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0000"/>
    </dxf>
    <dxf>
      <numFmt numFmtId="171" formatCode="0.0000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0.0000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5447"/>
        </patternFill>
      </fill>
    </dxf>
    <dxf>
      <fill>
        <patternFill patternType="solid">
          <bgColor rgb="FFFF5447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54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</xdr:colOff>
      <xdr:row>1</xdr:row>
      <xdr:rowOff>167640</xdr:rowOff>
    </xdr:from>
    <xdr:to>
      <xdr:col>10</xdr:col>
      <xdr:colOff>388620</xdr:colOff>
      <xdr:row>9</xdr:row>
      <xdr:rowOff>76200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 Submitted">
              <a:extLst>
                <a:ext uri="{FF2B5EF4-FFF2-40B4-BE49-F238E27FC236}">
                  <a16:creationId xmlns:a16="http://schemas.microsoft.com/office/drawing/2014/main" id="{3CDFA113-1075-2CE9-C1CB-01CA77BA22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Submitte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5840" y="36576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0.709078587963" createdVersion="8" refreshedVersion="8" minRefreshableVersion="3" recordCount="100" xr:uid="{37AA3102-B952-4C3B-816A-E4161483A2B9}">
  <cacheSource type="worksheet">
    <worksheetSource name="Data"/>
  </cacheSource>
  <cacheFields count="11">
    <cacheField name="Ticket ID" numFmtId="0">
      <sharedItems/>
    </cacheField>
    <cacheField name="Date Submitted" numFmtId="164">
      <sharedItems containsSemiMixedTypes="0" containsNonDate="0" containsDate="1" containsString="0" minDate="2025-01-01T00:00:00" maxDate="2025-04-01T00:00:00" count="58">
        <d v="2025-03-22T00:00:00"/>
        <d v="2025-01-15T00:00:00"/>
        <d v="2025-01-04T00:00:00"/>
        <d v="2025-02-05T00:00:00"/>
        <d v="2025-02-01T00:00:00"/>
        <d v="2025-01-29T00:00:00"/>
        <d v="2025-01-18T00:00:00"/>
        <d v="2025-01-14T00:00:00"/>
        <d v="2025-03-27T00:00:00"/>
        <d v="2025-03-10T00:00:00"/>
        <d v="2025-01-12T00:00:00"/>
        <d v="2025-03-16T00:00:00"/>
        <d v="2025-02-24T00:00:00"/>
        <d v="2025-01-05T00:00:00"/>
        <d v="2025-01-28T00:00:00"/>
        <d v="2025-01-30T00:00:00"/>
        <d v="2025-03-05T00:00:00"/>
        <d v="2025-03-18T00:00:00"/>
        <d v="2025-03-12T00:00:00"/>
        <d v="2025-01-26T00:00:00"/>
        <d v="2025-03-24T00:00:00"/>
        <d v="2025-03-30T00:00:00"/>
        <d v="2025-02-23T00:00:00"/>
        <d v="2025-02-27T00:00:00"/>
        <d v="2025-01-01T00:00:00"/>
        <d v="2025-01-21T00:00:00"/>
        <d v="2025-02-13T00:00:00"/>
        <d v="2025-01-20T00:00:00"/>
        <d v="2025-02-18T00:00:00"/>
        <d v="2025-01-13T00:00:00"/>
        <d v="2025-02-15T00:00:00"/>
        <d v="2025-02-14T00:00:00"/>
        <d v="2025-02-03T00:00:00"/>
        <d v="2025-01-06T00:00:00"/>
        <d v="2025-02-28T00:00:00"/>
        <d v="2025-03-09T00:00:00"/>
        <d v="2025-01-16T00:00:00"/>
        <d v="2025-01-11T00:00:00"/>
        <d v="2025-03-11T00:00:00"/>
        <d v="2025-02-07T00:00:00"/>
        <d v="2025-03-21T00:00:00"/>
        <d v="2025-03-20T00:00:00"/>
        <d v="2025-02-16T00:00:00"/>
        <d v="2025-03-14T00:00:00"/>
        <d v="2025-01-25T00:00:00"/>
        <d v="2025-03-31T00:00:00"/>
        <d v="2025-01-09T00:00:00"/>
        <d v="2025-03-25T00:00:00"/>
        <d v="2025-02-17T00:00:00"/>
        <d v="2025-01-27T00:00:00"/>
        <d v="2025-03-26T00:00:00"/>
        <d v="2025-02-04T00:00:00"/>
        <d v="2025-03-28T00:00:00"/>
        <d v="2025-03-23T00:00:00"/>
        <d v="2025-01-10T00:00:00"/>
        <d v="2025-01-22T00:00:00"/>
        <d v="2025-03-29T00:00:00"/>
        <d v="2025-02-11T00:00:00"/>
      </sharedItems>
    </cacheField>
    <cacheField name="Month" numFmtId="164">
      <sharedItems count="3">
        <s v="March"/>
        <s v="January"/>
        <s v="February"/>
      </sharedItems>
    </cacheField>
    <cacheField name="Issue Type" numFmtId="0">
      <sharedItems count="6">
        <s v="Login Issue"/>
        <s v="Payment Error"/>
        <s v="Feature Request"/>
        <s v="Bug Report"/>
        <s v="Account Suspension"/>
        <s v="Performance Lag"/>
      </sharedItems>
    </cacheField>
    <cacheField name="Priority" numFmtId="0">
      <sharedItems count="4">
        <s v="Urgent"/>
        <s v="Low"/>
        <s v="Medium"/>
        <s v="High"/>
      </sharedItems>
    </cacheField>
    <cacheField name="Platform" numFmtId="0">
      <sharedItems count="3">
        <s v="Web"/>
        <s v="Android"/>
        <s v="iOS"/>
      </sharedItems>
    </cacheField>
    <cacheField name="Category" numFmtId="0">
      <sharedItems count="5">
        <s v="General Inquiry"/>
        <s v="Account Management"/>
        <s v="Billing"/>
        <s v="Technical"/>
        <s v="UX/UI"/>
      </sharedItems>
    </cacheField>
    <cacheField name="Status" numFmtId="0">
      <sharedItems/>
    </cacheField>
    <cacheField name="Time to Resolution (hrs)" numFmtId="0">
      <sharedItems containsSemiMixedTypes="0" containsString="0" containsNumber="1" minValue="2.4" maxValue="70.599999999999994"/>
    </cacheField>
    <cacheField name="User Rating (1-5)" numFmtId="0">
      <sharedItems containsSemiMixedTypes="0" containsString="0" containsNumber="1" minValue="1" maxValue="5"/>
    </cacheField>
    <cacheField name="Satisfaction Per Hour" numFmtId="0" formula="'User Rating (1-5)' /'Time to Resolution (hrs)'" databaseField="0"/>
  </cacheFields>
  <extLst>
    <ext xmlns:x14="http://schemas.microsoft.com/office/spreadsheetml/2009/9/main" uri="{725AE2AE-9491-48be-B2B4-4EB974FC3084}">
      <x14:pivotCacheDefinition pivotCacheId="1529179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x v="0"/>
    <x v="0"/>
    <x v="0"/>
    <x v="0"/>
    <x v="0"/>
    <x v="0"/>
    <s v="Closed"/>
    <n v="39.4"/>
    <n v="3.3"/>
  </r>
  <r>
    <s v="T0002"/>
    <x v="1"/>
    <x v="1"/>
    <x v="1"/>
    <x v="1"/>
    <x v="0"/>
    <x v="1"/>
    <s v="Resolved"/>
    <n v="53.3"/>
    <n v="3.7"/>
  </r>
  <r>
    <s v="T0003"/>
    <x v="2"/>
    <x v="1"/>
    <x v="0"/>
    <x v="2"/>
    <x v="1"/>
    <x v="0"/>
    <s v="In Progress"/>
    <n v="57.9"/>
    <n v="2.2999999999999998"/>
  </r>
  <r>
    <s v="T0004"/>
    <x v="3"/>
    <x v="2"/>
    <x v="2"/>
    <x v="2"/>
    <x v="0"/>
    <x v="2"/>
    <s v="In Progress"/>
    <n v="64.8"/>
    <n v="3"/>
  </r>
  <r>
    <s v="T0005"/>
    <x v="4"/>
    <x v="2"/>
    <x v="3"/>
    <x v="0"/>
    <x v="1"/>
    <x v="2"/>
    <s v="Closed"/>
    <n v="35.9"/>
    <n v="2.2999999999999998"/>
  </r>
  <r>
    <s v="T0006"/>
    <x v="5"/>
    <x v="1"/>
    <x v="2"/>
    <x v="2"/>
    <x v="0"/>
    <x v="2"/>
    <s v="Closed"/>
    <n v="20.7"/>
    <n v="3"/>
  </r>
  <r>
    <s v="T0007"/>
    <x v="6"/>
    <x v="1"/>
    <x v="0"/>
    <x v="3"/>
    <x v="2"/>
    <x v="3"/>
    <s v="In Progress"/>
    <n v="35.700000000000003"/>
    <n v="2.4"/>
  </r>
  <r>
    <s v="T0008"/>
    <x v="7"/>
    <x v="1"/>
    <x v="1"/>
    <x v="0"/>
    <x v="0"/>
    <x v="0"/>
    <s v="Resolved"/>
    <n v="28.9"/>
    <n v="2"/>
  </r>
  <r>
    <s v="T0009"/>
    <x v="8"/>
    <x v="0"/>
    <x v="4"/>
    <x v="2"/>
    <x v="1"/>
    <x v="2"/>
    <s v="Closed"/>
    <n v="48.7"/>
    <n v="2.1"/>
  </r>
  <r>
    <s v="T0010"/>
    <x v="9"/>
    <x v="0"/>
    <x v="5"/>
    <x v="2"/>
    <x v="0"/>
    <x v="4"/>
    <s v="Open"/>
    <n v="57.8"/>
    <n v="3.4"/>
  </r>
  <r>
    <s v="T0011"/>
    <x v="10"/>
    <x v="1"/>
    <x v="2"/>
    <x v="3"/>
    <x v="1"/>
    <x v="0"/>
    <s v="Resolved"/>
    <n v="52.6"/>
    <n v="4.5"/>
  </r>
  <r>
    <s v="T0012"/>
    <x v="11"/>
    <x v="0"/>
    <x v="1"/>
    <x v="0"/>
    <x v="1"/>
    <x v="0"/>
    <s v="Resolved"/>
    <n v="60.8"/>
    <n v="3.2"/>
  </r>
  <r>
    <s v="T0013"/>
    <x v="12"/>
    <x v="2"/>
    <x v="5"/>
    <x v="3"/>
    <x v="0"/>
    <x v="3"/>
    <s v="In Progress"/>
    <n v="66.3"/>
    <n v="3.1"/>
  </r>
  <r>
    <s v="T0014"/>
    <x v="13"/>
    <x v="1"/>
    <x v="3"/>
    <x v="0"/>
    <x v="1"/>
    <x v="1"/>
    <s v="Closed"/>
    <n v="70.599999999999994"/>
    <n v="1.8"/>
  </r>
  <r>
    <s v="T0015"/>
    <x v="2"/>
    <x v="1"/>
    <x v="3"/>
    <x v="0"/>
    <x v="0"/>
    <x v="3"/>
    <s v="Resolved"/>
    <n v="39.200000000000003"/>
    <n v="2"/>
  </r>
  <r>
    <s v="T0016"/>
    <x v="10"/>
    <x v="1"/>
    <x v="5"/>
    <x v="1"/>
    <x v="2"/>
    <x v="2"/>
    <s v="Closed"/>
    <n v="65.400000000000006"/>
    <n v="2.6"/>
  </r>
  <r>
    <s v="T0017"/>
    <x v="14"/>
    <x v="1"/>
    <x v="3"/>
    <x v="2"/>
    <x v="1"/>
    <x v="4"/>
    <s v="Closed"/>
    <n v="43.2"/>
    <n v="3.2"/>
  </r>
  <r>
    <s v="T0018"/>
    <x v="15"/>
    <x v="1"/>
    <x v="1"/>
    <x v="2"/>
    <x v="1"/>
    <x v="4"/>
    <s v="Closed"/>
    <n v="48.2"/>
    <n v="2"/>
  </r>
  <r>
    <s v="T0019"/>
    <x v="16"/>
    <x v="0"/>
    <x v="2"/>
    <x v="1"/>
    <x v="1"/>
    <x v="2"/>
    <s v="In Progress"/>
    <n v="7.4"/>
    <n v="2.9"/>
  </r>
  <r>
    <s v="T0020"/>
    <x v="17"/>
    <x v="0"/>
    <x v="1"/>
    <x v="3"/>
    <x v="1"/>
    <x v="4"/>
    <s v="Closed"/>
    <n v="31.7"/>
    <n v="3.8"/>
  </r>
  <r>
    <s v="T0021"/>
    <x v="2"/>
    <x v="1"/>
    <x v="1"/>
    <x v="1"/>
    <x v="2"/>
    <x v="3"/>
    <s v="In Progress"/>
    <n v="62.6"/>
    <n v="2.8"/>
  </r>
  <r>
    <s v="T0022"/>
    <x v="18"/>
    <x v="0"/>
    <x v="5"/>
    <x v="2"/>
    <x v="2"/>
    <x v="3"/>
    <s v="Open"/>
    <n v="14.3"/>
    <n v="1.1000000000000001"/>
  </r>
  <r>
    <s v="T0023"/>
    <x v="19"/>
    <x v="1"/>
    <x v="4"/>
    <x v="2"/>
    <x v="0"/>
    <x v="2"/>
    <s v="Resolved"/>
    <n v="19.8"/>
    <n v="2.2000000000000002"/>
  </r>
  <r>
    <s v="T0024"/>
    <x v="20"/>
    <x v="0"/>
    <x v="4"/>
    <x v="1"/>
    <x v="1"/>
    <x v="4"/>
    <s v="Resolved"/>
    <n v="24.6"/>
    <n v="2.6"/>
  </r>
  <r>
    <s v="T0025"/>
    <x v="21"/>
    <x v="0"/>
    <x v="2"/>
    <x v="1"/>
    <x v="1"/>
    <x v="0"/>
    <s v="Open"/>
    <n v="33.6"/>
    <n v="2"/>
  </r>
  <r>
    <s v="T0026"/>
    <x v="9"/>
    <x v="0"/>
    <x v="5"/>
    <x v="1"/>
    <x v="2"/>
    <x v="1"/>
    <s v="In Progress"/>
    <n v="25.3"/>
    <n v="3.7"/>
  </r>
  <r>
    <s v="T0027"/>
    <x v="22"/>
    <x v="2"/>
    <x v="4"/>
    <x v="2"/>
    <x v="0"/>
    <x v="0"/>
    <s v="Resolved"/>
    <n v="63.5"/>
    <n v="2.5"/>
  </r>
  <r>
    <s v="T0028"/>
    <x v="5"/>
    <x v="1"/>
    <x v="3"/>
    <x v="1"/>
    <x v="2"/>
    <x v="3"/>
    <s v="In Progress"/>
    <n v="21.1"/>
    <n v="3.2"/>
  </r>
  <r>
    <s v="T0029"/>
    <x v="23"/>
    <x v="2"/>
    <x v="4"/>
    <x v="1"/>
    <x v="2"/>
    <x v="3"/>
    <s v="In Progress"/>
    <n v="68.599999999999994"/>
    <n v="2.4"/>
  </r>
  <r>
    <s v="T0030"/>
    <x v="11"/>
    <x v="0"/>
    <x v="3"/>
    <x v="3"/>
    <x v="0"/>
    <x v="3"/>
    <s v="In Progress"/>
    <n v="31.2"/>
    <n v="5"/>
  </r>
  <r>
    <s v="T0031"/>
    <x v="3"/>
    <x v="2"/>
    <x v="2"/>
    <x v="1"/>
    <x v="1"/>
    <x v="3"/>
    <s v="Open"/>
    <n v="60.4"/>
    <n v="3.2"/>
  </r>
  <r>
    <s v="T0032"/>
    <x v="24"/>
    <x v="1"/>
    <x v="1"/>
    <x v="2"/>
    <x v="1"/>
    <x v="1"/>
    <s v="Open"/>
    <n v="34.700000000000003"/>
    <n v="2.4"/>
  </r>
  <r>
    <s v="T0033"/>
    <x v="25"/>
    <x v="1"/>
    <x v="1"/>
    <x v="3"/>
    <x v="2"/>
    <x v="2"/>
    <s v="In Progress"/>
    <n v="54.3"/>
    <n v="2.8"/>
  </r>
  <r>
    <s v="T0034"/>
    <x v="21"/>
    <x v="0"/>
    <x v="4"/>
    <x v="0"/>
    <x v="2"/>
    <x v="3"/>
    <s v="Closed"/>
    <n v="5.2"/>
    <n v="2.2000000000000002"/>
  </r>
  <r>
    <s v="T0035"/>
    <x v="12"/>
    <x v="2"/>
    <x v="3"/>
    <x v="2"/>
    <x v="2"/>
    <x v="4"/>
    <s v="Open"/>
    <n v="68.599999999999994"/>
    <n v="1.9"/>
  </r>
  <r>
    <s v="T0036"/>
    <x v="26"/>
    <x v="2"/>
    <x v="0"/>
    <x v="2"/>
    <x v="0"/>
    <x v="1"/>
    <s v="Closed"/>
    <n v="17.3"/>
    <n v="3.9"/>
  </r>
  <r>
    <s v="T0037"/>
    <x v="3"/>
    <x v="2"/>
    <x v="0"/>
    <x v="0"/>
    <x v="0"/>
    <x v="3"/>
    <s v="Closed"/>
    <n v="6.3"/>
    <n v="2.2999999999999998"/>
  </r>
  <r>
    <s v="T0038"/>
    <x v="27"/>
    <x v="1"/>
    <x v="0"/>
    <x v="2"/>
    <x v="2"/>
    <x v="4"/>
    <s v="In Progress"/>
    <n v="69"/>
    <n v="4"/>
  </r>
  <r>
    <s v="T0039"/>
    <x v="14"/>
    <x v="1"/>
    <x v="1"/>
    <x v="0"/>
    <x v="1"/>
    <x v="3"/>
    <s v="Closed"/>
    <n v="4.3"/>
    <n v="4.8"/>
  </r>
  <r>
    <s v="T0040"/>
    <x v="26"/>
    <x v="2"/>
    <x v="5"/>
    <x v="0"/>
    <x v="1"/>
    <x v="2"/>
    <s v="Closed"/>
    <n v="3.7"/>
    <n v="3.8"/>
  </r>
  <r>
    <s v="T0041"/>
    <x v="7"/>
    <x v="1"/>
    <x v="1"/>
    <x v="2"/>
    <x v="0"/>
    <x v="1"/>
    <s v="Closed"/>
    <n v="18.899999999999999"/>
    <n v="1.8"/>
  </r>
  <r>
    <s v="T0042"/>
    <x v="10"/>
    <x v="1"/>
    <x v="5"/>
    <x v="1"/>
    <x v="0"/>
    <x v="2"/>
    <s v="In Progress"/>
    <n v="60.7"/>
    <n v="4"/>
  </r>
  <r>
    <s v="T0043"/>
    <x v="28"/>
    <x v="2"/>
    <x v="3"/>
    <x v="1"/>
    <x v="1"/>
    <x v="1"/>
    <s v="In Progress"/>
    <n v="45.3"/>
    <n v="2.1"/>
  </r>
  <r>
    <s v="T0044"/>
    <x v="29"/>
    <x v="1"/>
    <x v="4"/>
    <x v="0"/>
    <x v="0"/>
    <x v="3"/>
    <s v="Open"/>
    <n v="18.3"/>
    <n v="3.4"/>
  </r>
  <r>
    <s v="T0045"/>
    <x v="30"/>
    <x v="2"/>
    <x v="0"/>
    <x v="3"/>
    <x v="1"/>
    <x v="3"/>
    <s v="Open"/>
    <n v="34.9"/>
    <n v="4"/>
  </r>
  <r>
    <s v="T0046"/>
    <x v="31"/>
    <x v="2"/>
    <x v="3"/>
    <x v="0"/>
    <x v="2"/>
    <x v="1"/>
    <s v="Closed"/>
    <n v="9.6"/>
    <n v="3.4"/>
  </r>
  <r>
    <s v="T0047"/>
    <x v="17"/>
    <x v="0"/>
    <x v="3"/>
    <x v="0"/>
    <x v="0"/>
    <x v="4"/>
    <s v="In Progress"/>
    <n v="68.3"/>
    <n v="4.9000000000000004"/>
  </r>
  <r>
    <s v="T0048"/>
    <x v="32"/>
    <x v="2"/>
    <x v="4"/>
    <x v="0"/>
    <x v="2"/>
    <x v="4"/>
    <s v="In Progress"/>
    <n v="34.299999999999997"/>
    <n v="4.3"/>
  </r>
  <r>
    <s v="T0049"/>
    <x v="33"/>
    <x v="1"/>
    <x v="3"/>
    <x v="1"/>
    <x v="0"/>
    <x v="3"/>
    <s v="Closed"/>
    <n v="19.600000000000001"/>
    <n v="2.2000000000000002"/>
  </r>
  <r>
    <s v="T0050"/>
    <x v="34"/>
    <x v="2"/>
    <x v="4"/>
    <x v="1"/>
    <x v="0"/>
    <x v="3"/>
    <s v="Open"/>
    <n v="27.5"/>
    <n v="2.4"/>
  </r>
  <r>
    <s v="T0051"/>
    <x v="35"/>
    <x v="0"/>
    <x v="2"/>
    <x v="1"/>
    <x v="2"/>
    <x v="2"/>
    <s v="In Progress"/>
    <n v="44.2"/>
    <n v="2.2000000000000002"/>
  </r>
  <r>
    <s v="T0052"/>
    <x v="36"/>
    <x v="1"/>
    <x v="4"/>
    <x v="0"/>
    <x v="2"/>
    <x v="3"/>
    <s v="Open"/>
    <n v="69.400000000000006"/>
    <n v="3.8"/>
  </r>
  <r>
    <s v="T0053"/>
    <x v="28"/>
    <x v="2"/>
    <x v="0"/>
    <x v="3"/>
    <x v="0"/>
    <x v="1"/>
    <s v="Closed"/>
    <n v="52.1"/>
    <n v="1.5"/>
  </r>
  <r>
    <s v="T0054"/>
    <x v="37"/>
    <x v="1"/>
    <x v="5"/>
    <x v="1"/>
    <x v="2"/>
    <x v="4"/>
    <s v="In Progress"/>
    <n v="56.3"/>
    <n v="1.2"/>
  </r>
  <r>
    <s v="T0055"/>
    <x v="38"/>
    <x v="0"/>
    <x v="5"/>
    <x v="2"/>
    <x v="1"/>
    <x v="4"/>
    <s v="Closed"/>
    <n v="13"/>
    <n v="1.2"/>
  </r>
  <r>
    <s v="T0056"/>
    <x v="39"/>
    <x v="2"/>
    <x v="0"/>
    <x v="2"/>
    <x v="1"/>
    <x v="2"/>
    <s v="Resolved"/>
    <n v="23.4"/>
    <n v="2.2000000000000002"/>
  </r>
  <r>
    <s v="T0057"/>
    <x v="40"/>
    <x v="0"/>
    <x v="5"/>
    <x v="2"/>
    <x v="2"/>
    <x v="4"/>
    <s v="Closed"/>
    <n v="42.3"/>
    <n v="4.8"/>
  </r>
  <r>
    <s v="T0058"/>
    <x v="41"/>
    <x v="0"/>
    <x v="4"/>
    <x v="0"/>
    <x v="1"/>
    <x v="4"/>
    <s v="Closed"/>
    <n v="67"/>
    <n v="3.6"/>
  </r>
  <r>
    <s v="T0059"/>
    <x v="42"/>
    <x v="2"/>
    <x v="2"/>
    <x v="2"/>
    <x v="1"/>
    <x v="0"/>
    <s v="Closed"/>
    <n v="42.1"/>
    <n v="4"/>
  </r>
  <r>
    <s v="T0060"/>
    <x v="43"/>
    <x v="0"/>
    <x v="5"/>
    <x v="0"/>
    <x v="1"/>
    <x v="1"/>
    <s v="In Progress"/>
    <n v="65.5"/>
    <n v="1.4"/>
  </r>
  <r>
    <s v="T0061"/>
    <x v="44"/>
    <x v="1"/>
    <x v="2"/>
    <x v="2"/>
    <x v="0"/>
    <x v="0"/>
    <s v="Closed"/>
    <n v="28"/>
    <n v="1"/>
  </r>
  <r>
    <s v="T0062"/>
    <x v="45"/>
    <x v="0"/>
    <x v="0"/>
    <x v="3"/>
    <x v="1"/>
    <x v="4"/>
    <s v="Closed"/>
    <n v="67.900000000000006"/>
    <n v="2.1"/>
  </r>
  <r>
    <s v="T0063"/>
    <x v="46"/>
    <x v="1"/>
    <x v="2"/>
    <x v="0"/>
    <x v="1"/>
    <x v="2"/>
    <s v="Resolved"/>
    <n v="15.5"/>
    <n v="2.9"/>
  </r>
  <r>
    <s v="T0064"/>
    <x v="33"/>
    <x v="1"/>
    <x v="3"/>
    <x v="2"/>
    <x v="2"/>
    <x v="2"/>
    <s v="In Progress"/>
    <n v="43.2"/>
    <n v="2.4"/>
  </r>
  <r>
    <s v="T0065"/>
    <x v="47"/>
    <x v="0"/>
    <x v="1"/>
    <x v="1"/>
    <x v="1"/>
    <x v="4"/>
    <s v="Resolved"/>
    <n v="60.1"/>
    <n v="4.9000000000000004"/>
  </r>
  <r>
    <s v="T0066"/>
    <x v="15"/>
    <x v="1"/>
    <x v="3"/>
    <x v="0"/>
    <x v="0"/>
    <x v="3"/>
    <s v="Closed"/>
    <n v="18.600000000000001"/>
    <n v="2"/>
  </r>
  <r>
    <s v="T0067"/>
    <x v="39"/>
    <x v="2"/>
    <x v="0"/>
    <x v="1"/>
    <x v="0"/>
    <x v="0"/>
    <s v="In Progress"/>
    <n v="50.7"/>
    <n v="4.4000000000000004"/>
  </r>
  <r>
    <s v="T0068"/>
    <x v="37"/>
    <x v="1"/>
    <x v="5"/>
    <x v="1"/>
    <x v="2"/>
    <x v="4"/>
    <s v="Resolved"/>
    <n v="22.8"/>
    <n v="1.5"/>
  </r>
  <r>
    <s v="T0069"/>
    <x v="15"/>
    <x v="1"/>
    <x v="5"/>
    <x v="1"/>
    <x v="0"/>
    <x v="2"/>
    <s v="Closed"/>
    <n v="49.7"/>
    <n v="1.3"/>
  </r>
  <r>
    <s v="T0070"/>
    <x v="29"/>
    <x v="1"/>
    <x v="2"/>
    <x v="1"/>
    <x v="0"/>
    <x v="2"/>
    <s v="Open"/>
    <n v="58.3"/>
    <n v="3"/>
  </r>
  <r>
    <s v="T0071"/>
    <x v="28"/>
    <x v="2"/>
    <x v="4"/>
    <x v="2"/>
    <x v="1"/>
    <x v="0"/>
    <s v="Resolved"/>
    <n v="57.6"/>
    <n v="3.3"/>
  </r>
  <r>
    <s v="T0072"/>
    <x v="3"/>
    <x v="2"/>
    <x v="1"/>
    <x v="2"/>
    <x v="1"/>
    <x v="1"/>
    <s v="In Progress"/>
    <n v="41.4"/>
    <n v="3.7"/>
  </r>
  <r>
    <s v="T0073"/>
    <x v="34"/>
    <x v="2"/>
    <x v="4"/>
    <x v="0"/>
    <x v="0"/>
    <x v="4"/>
    <s v="Resolved"/>
    <n v="4.4000000000000004"/>
    <n v="1.6"/>
  </r>
  <r>
    <s v="T0074"/>
    <x v="0"/>
    <x v="0"/>
    <x v="0"/>
    <x v="0"/>
    <x v="2"/>
    <x v="4"/>
    <s v="Resolved"/>
    <n v="39.1"/>
    <n v="4.2"/>
  </r>
  <r>
    <s v="T0075"/>
    <x v="42"/>
    <x v="2"/>
    <x v="5"/>
    <x v="0"/>
    <x v="2"/>
    <x v="1"/>
    <s v="Resolved"/>
    <n v="48.1"/>
    <n v="4.8"/>
  </r>
  <r>
    <s v="T0076"/>
    <x v="25"/>
    <x v="1"/>
    <x v="2"/>
    <x v="2"/>
    <x v="1"/>
    <x v="0"/>
    <s v="Open"/>
    <n v="6.4"/>
    <n v="1.3"/>
  </r>
  <r>
    <s v="T0077"/>
    <x v="48"/>
    <x v="2"/>
    <x v="5"/>
    <x v="0"/>
    <x v="0"/>
    <x v="0"/>
    <s v="In Progress"/>
    <n v="47.2"/>
    <n v="2"/>
  </r>
  <r>
    <s v="T0078"/>
    <x v="30"/>
    <x v="2"/>
    <x v="4"/>
    <x v="1"/>
    <x v="1"/>
    <x v="2"/>
    <s v="In Progress"/>
    <n v="2.4"/>
    <n v="3.2"/>
  </r>
  <r>
    <s v="T0079"/>
    <x v="49"/>
    <x v="1"/>
    <x v="4"/>
    <x v="2"/>
    <x v="2"/>
    <x v="1"/>
    <s v="In Progress"/>
    <n v="31.1"/>
    <n v="2.7"/>
  </r>
  <r>
    <s v="T0080"/>
    <x v="50"/>
    <x v="0"/>
    <x v="1"/>
    <x v="0"/>
    <x v="0"/>
    <x v="0"/>
    <s v="Closed"/>
    <n v="36.1"/>
    <n v="3.4"/>
  </r>
  <r>
    <s v="T0081"/>
    <x v="51"/>
    <x v="2"/>
    <x v="1"/>
    <x v="1"/>
    <x v="1"/>
    <x v="3"/>
    <s v="In Progress"/>
    <n v="32.1"/>
    <n v="3.5"/>
  </r>
  <r>
    <s v="T0082"/>
    <x v="21"/>
    <x v="0"/>
    <x v="2"/>
    <x v="0"/>
    <x v="1"/>
    <x v="4"/>
    <s v="In Progress"/>
    <n v="27"/>
    <n v="4.0999999999999996"/>
  </r>
  <r>
    <s v="T0083"/>
    <x v="52"/>
    <x v="0"/>
    <x v="1"/>
    <x v="3"/>
    <x v="2"/>
    <x v="2"/>
    <s v="Open"/>
    <n v="64.400000000000006"/>
    <n v="2.5"/>
  </r>
  <r>
    <s v="T0084"/>
    <x v="53"/>
    <x v="0"/>
    <x v="4"/>
    <x v="0"/>
    <x v="1"/>
    <x v="1"/>
    <s v="Closed"/>
    <n v="33.9"/>
    <n v="4.5999999999999996"/>
  </r>
  <r>
    <s v="T0085"/>
    <x v="54"/>
    <x v="1"/>
    <x v="4"/>
    <x v="3"/>
    <x v="2"/>
    <x v="2"/>
    <s v="Closed"/>
    <n v="12.3"/>
    <n v="2.2000000000000002"/>
  </r>
  <r>
    <s v="T0086"/>
    <x v="17"/>
    <x v="0"/>
    <x v="0"/>
    <x v="0"/>
    <x v="2"/>
    <x v="0"/>
    <s v="Resolved"/>
    <n v="13.9"/>
    <n v="3.4"/>
  </r>
  <r>
    <s v="T0087"/>
    <x v="0"/>
    <x v="0"/>
    <x v="4"/>
    <x v="0"/>
    <x v="0"/>
    <x v="0"/>
    <s v="Closed"/>
    <n v="38.299999999999997"/>
    <n v="2.7"/>
  </r>
  <r>
    <s v="T0088"/>
    <x v="55"/>
    <x v="1"/>
    <x v="2"/>
    <x v="2"/>
    <x v="0"/>
    <x v="3"/>
    <s v="Closed"/>
    <n v="47.4"/>
    <n v="3.3"/>
  </r>
  <r>
    <s v="T0089"/>
    <x v="35"/>
    <x v="0"/>
    <x v="3"/>
    <x v="2"/>
    <x v="1"/>
    <x v="4"/>
    <s v="Open"/>
    <n v="44.9"/>
    <n v="1.2"/>
  </r>
  <r>
    <s v="T0090"/>
    <x v="4"/>
    <x v="2"/>
    <x v="0"/>
    <x v="3"/>
    <x v="2"/>
    <x v="1"/>
    <s v="In Progress"/>
    <n v="66.3"/>
    <n v="4.8"/>
  </r>
  <r>
    <s v="T0091"/>
    <x v="25"/>
    <x v="1"/>
    <x v="0"/>
    <x v="2"/>
    <x v="2"/>
    <x v="2"/>
    <s v="Closed"/>
    <n v="56.1"/>
    <n v="1.4"/>
  </r>
  <r>
    <s v="T0092"/>
    <x v="34"/>
    <x v="2"/>
    <x v="2"/>
    <x v="1"/>
    <x v="0"/>
    <x v="4"/>
    <s v="Closed"/>
    <n v="34.299999999999997"/>
    <n v="4.0999999999999996"/>
  </r>
  <r>
    <s v="T0093"/>
    <x v="28"/>
    <x v="2"/>
    <x v="2"/>
    <x v="1"/>
    <x v="0"/>
    <x v="0"/>
    <s v="Open"/>
    <n v="59.7"/>
    <n v="3.5"/>
  </r>
  <r>
    <s v="T0094"/>
    <x v="51"/>
    <x v="2"/>
    <x v="1"/>
    <x v="3"/>
    <x v="2"/>
    <x v="4"/>
    <s v="Closed"/>
    <n v="43.3"/>
    <n v="2.1"/>
  </r>
  <r>
    <s v="T0095"/>
    <x v="0"/>
    <x v="0"/>
    <x v="0"/>
    <x v="1"/>
    <x v="0"/>
    <x v="2"/>
    <s v="Closed"/>
    <n v="24.2"/>
    <n v="1.3"/>
  </r>
  <r>
    <s v="T0096"/>
    <x v="56"/>
    <x v="0"/>
    <x v="1"/>
    <x v="1"/>
    <x v="1"/>
    <x v="4"/>
    <s v="Open"/>
    <n v="18.8"/>
    <n v="2"/>
  </r>
  <r>
    <s v="T0097"/>
    <x v="18"/>
    <x v="0"/>
    <x v="4"/>
    <x v="0"/>
    <x v="2"/>
    <x v="0"/>
    <s v="Resolved"/>
    <n v="67.400000000000006"/>
    <n v="3.2"/>
  </r>
  <r>
    <s v="T0098"/>
    <x v="5"/>
    <x v="1"/>
    <x v="0"/>
    <x v="2"/>
    <x v="0"/>
    <x v="4"/>
    <s v="Resolved"/>
    <n v="21.2"/>
    <n v="1.6"/>
  </r>
  <r>
    <s v="T0099"/>
    <x v="52"/>
    <x v="0"/>
    <x v="0"/>
    <x v="1"/>
    <x v="1"/>
    <x v="1"/>
    <s v="Closed"/>
    <n v="33.299999999999997"/>
    <n v="2.6"/>
  </r>
  <r>
    <s v="T0100"/>
    <x v="57"/>
    <x v="2"/>
    <x v="5"/>
    <x v="1"/>
    <x v="2"/>
    <x v="4"/>
    <s v="Closed"/>
    <n v="54.4"/>
    <n v="3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1672D-A60B-497A-AAB1-0399EF3EB7B8}" name="PivotTable9" cacheId="25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rowHeaderCaption="Issue Type">
  <location ref="E19:H25" firstHeaderRow="0" firstDataRow="1" firstDataCol="1"/>
  <pivotFields count="11">
    <pivotField showAll="0"/>
    <pivotField numFmtId="164" showAll="0">
      <items count="59">
        <item x="24"/>
        <item x="2"/>
        <item x="13"/>
        <item x="33"/>
        <item x="46"/>
        <item x="54"/>
        <item x="37"/>
        <item x="10"/>
        <item x="29"/>
        <item x="7"/>
        <item x="1"/>
        <item x="36"/>
        <item x="6"/>
        <item x="27"/>
        <item x="25"/>
        <item x="55"/>
        <item x="44"/>
        <item x="19"/>
        <item x="49"/>
        <item x="14"/>
        <item x="5"/>
        <item x="15"/>
        <item x="4"/>
        <item x="32"/>
        <item x="51"/>
        <item x="3"/>
        <item x="39"/>
        <item x="57"/>
        <item x="26"/>
        <item x="31"/>
        <item x="30"/>
        <item x="42"/>
        <item x="48"/>
        <item x="28"/>
        <item x="22"/>
        <item x="12"/>
        <item x="23"/>
        <item x="34"/>
        <item x="16"/>
        <item x="35"/>
        <item x="9"/>
        <item x="38"/>
        <item x="18"/>
        <item x="43"/>
        <item x="11"/>
        <item x="17"/>
        <item x="41"/>
        <item x="40"/>
        <item x="0"/>
        <item x="53"/>
        <item x="20"/>
        <item x="47"/>
        <item x="50"/>
        <item x="8"/>
        <item x="52"/>
        <item x="56"/>
        <item x="21"/>
        <item x="45"/>
        <item t="default"/>
      </items>
    </pivotField>
    <pivotField showAll="0"/>
    <pivotField axis="axisRow" showAll="0" sortType="descending">
      <items count="7">
        <item x="4"/>
        <item x="3"/>
        <item x="2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dataField="1" dragToRow="0" dragToCol="0" dragToPage="0" showAll="0" defaultSubtotal="0"/>
  </pivotFields>
  <rowFields count="1">
    <field x="3"/>
  </rowFields>
  <rowItems count="6">
    <i>
      <x v="3"/>
    </i>
    <i>
      <x/>
    </i>
    <i>
      <x v="4"/>
    </i>
    <i>
      <x v="5"/>
    </i>
    <i>
      <x v="2"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ser Rating" fld="9" baseField="0" baseItem="0"/>
    <dataField name="Sum Time to Resolution" fld="8" baseField="0" baseItem="0"/>
    <dataField name="Sum of Satisfaction Per Hour" fld="10" baseField="0" baseItem="0" numFmtId="169"/>
  </dataFields>
  <formats count="18">
    <format dxfId="333">
      <pivotArea type="all" dataOnly="0" outline="0" fieldPosition="0"/>
    </format>
    <format dxfId="332">
      <pivotArea outline="0" collapsedLevelsAreSubtotals="1" fieldPosition="0"/>
    </format>
    <format dxfId="331">
      <pivotArea field="3" type="button" dataOnly="0" labelOnly="1" outline="0" axis="axisRow" fieldPosition="0"/>
    </format>
    <format dxfId="330">
      <pivotArea dataOnly="0" labelOnly="1" fieldPosition="0">
        <references count="1">
          <reference field="3" count="0"/>
        </references>
      </pivotArea>
    </format>
    <format dxfId="329">
      <pivotArea dataOnly="0" labelOnly="1" grandRow="1" outline="0" fieldPosition="0"/>
    </format>
    <format dxfId="3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7">
      <pivotArea type="all" dataOnly="0" outline="0" fieldPosition="0"/>
    </format>
    <format dxfId="326">
      <pivotArea outline="0" collapsedLevelsAreSubtotals="1" fieldPosition="0"/>
    </format>
    <format dxfId="325">
      <pivotArea field="3" type="button" dataOnly="0" labelOnly="1" outline="0" axis="axisRow" fieldPosition="0"/>
    </format>
    <format dxfId="324">
      <pivotArea dataOnly="0" labelOnly="1" fieldPosition="0">
        <references count="1">
          <reference field="3" count="0"/>
        </references>
      </pivotArea>
    </format>
    <format dxfId="323">
      <pivotArea dataOnly="0" labelOnly="1" grandRow="1" outline="0" fieldPosition="0"/>
    </format>
    <format dxfId="3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1">
      <pivotArea type="all" dataOnly="0" outline="0" fieldPosition="0"/>
    </format>
    <format dxfId="320">
      <pivotArea outline="0" collapsedLevelsAreSubtotals="1" fieldPosition="0"/>
    </format>
    <format dxfId="319">
      <pivotArea field="3" type="button" dataOnly="0" labelOnly="1" outline="0" axis="axisRow" fieldPosition="0"/>
    </format>
    <format dxfId="318">
      <pivotArea dataOnly="0" labelOnly="1" fieldPosition="0">
        <references count="1">
          <reference field="3" count="0"/>
        </references>
      </pivotArea>
    </format>
    <format dxfId="3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3E082-1DF6-4B91-8C69-D0115DC76E52}" name="PivotTable8" cacheId="25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rowHeaderCaption="Months">
  <location ref="E12:F15" firstHeaderRow="1" firstDataRow="1" firstDataCol="1"/>
  <pivotFields count="11">
    <pivotField dataField="1" showAll="0"/>
    <pivotField numFmtId="164" showAll="0">
      <items count="59">
        <item x="24"/>
        <item x="2"/>
        <item x="13"/>
        <item x="33"/>
        <item x="46"/>
        <item x="54"/>
        <item x="37"/>
        <item x="10"/>
        <item x="29"/>
        <item x="7"/>
        <item x="1"/>
        <item x="36"/>
        <item x="6"/>
        <item x="27"/>
        <item x="25"/>
        <item x="55"/>
        <item x="44"/>
        <item x="19"/>
        <item x="49"/>
        <item x="14"/>
        <item x="5"/>
        <item x="15"/>
        <item x="4"/>
        <item x="32"/>
        <item x="51"/>
        <item x="3"/>
        <item x="39"/>
        <item x="57"/>
        <item x="26"/>
        <item x="31"/>
        <item x="30"/>
        <item x="42"/>
        <item x="48"/>
        <item x="28"/>
        <item x="22"/>
        <item x="12"/>
        <item x="23"/>
        <item x="34"/>
        <item x="16"/>
        <item x="35"/>
        <item x="9"/>
        <item x="38"/>
        <item x="18"/>
        <item x="43"/>
        <item x="11"/>
        <item x="17"/>
        <item x="41"/>
        <item x="40"/>
        <item x="0"/>
        <item x="53"/>
        <item x="20"/>
        <item x="47"/>
        <item x="50"/>
        <item x="8"/>
        <item x="52"/>
        <item x="56"/>
        <item x="21"/>
        <item x="45"/>
        <item t="default"/>
      </items>
    </pivotField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3">
    <i>
      <x/>
    </i>
    <i>
      <x v="2"/>
    </i>
    <i>
      <x v="1"/>
    </i>
  </rowItems>
  <colItems count="1">
    <i/>
  </colItems>
  <dataFields count="1">
    <dataField name="Count of Ticket ID" fld="0" subtotal="count" baseField="0" baseItem="0"/>
  </dataFields>
  <formats count="12">
    <format dxfId="345">
      <pivotArea collapsedLevelsAreSubtotals="1" fieldPosition="0">
        <references count="1">
          <reference field="2" count="0"/>
        </references>
      </pivotArea>
    </format>
    <format dxfId="344">
      <pivotArea field="2" type="button" dataOnly="0" labelOnly="1" outline="0" axis="axisRow" fieldPosition="0"/>
    </format>
    <format dxfId="343">
      <pivotArea dataOnly="0" labelOnly="1" fieldPosition="0">
        <references count="1">
          <reference field="2" count="0"/>
        </references>
      </pivotArea>
    </format>
    <format dxfId="342">
      <pivotArea dataOnly="0" labelOnly="1" outline="0" axis="axisValues" fieldPosition="0"/>
    </format>
    <format dxfId="341">
      <pivotArea collapsedLevelsAreSubtotals="1" fieldPosition="0">
        <references count="1">
          <reference field="2" count="0"/>
        </references>
      </pivotArea>
    </format>
    <format dxfId="340">
      <pivotArea field="2" type="button" dataOnly="0" labelOnly="1" outline="0" axis="axisRow" fieldPosition="0"/>
    </format>
    <format dxfId="339">
      <pivotArea dataOnly="0" labelOnly="1" fieldPosition="0">
        <references count="1">
          <reference field="2" count="0"/>
        </references>
      </pivotArea>
    </format>
    <format dxfId="338">
      <pivotArea dataOnly="0" labelOnly="1" outline="0" axis="axisValues" fieldPosition="0"/>
    </format>
    <format dxfId="337">
      <pivotArea collapsedLevelsAreSubtotals="1" fieldPosition="0">
        <references count="1">
          <reference field="2" count="0"/>
        </references>
      </pivotArea>
    </format>
    <format dxfId="336">
      <pivotArea field="2" type="button" dataOnly="0" labelOnly="1" outline="0" axis="axisRow" fieldPosition="0"/>
    </format>
    <format dxfId="335">
      <pivotArea dataOnly="0" labelOnly="1" fieldPosition="0">
        <references count="1">
          <reference field="2" count="0"/>
        </references>
      </pivotArea>
    </format>
    <format dxfId="3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AA166-1435-45ED-BBEC-D1498938AFAF}" name="PivotTable4" cacheId="25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rowHeaderCaption="Category">
  <location ref="E2:F7" firstHeaderRow="1" firstDataRow="1" firstDataCol="1"/>
  <pivotFields count="11">
    <pivotField showAll="0"/>
    <pivotField numFmtId="164" showAll="0">
      <items count="59">
        <item x="24"/>
        <item x="2"/>
        <item x="13"/>
        <item x="33"/>
        <item x="46"/>
        <item x="54"/>
        <item x="37"/>
        <item x="10"/>
        <item x="29"/>
        <item x="7"/>
        <item x="1"/>
        <item x="36"/>
        <item x="6"/>
        <item x="27"/>
        <item x="25"/>
        <item x="55"/>
        <item x="44"/>
        <item x="19"/>
        <item x="49"/>
        <item x="14"/>
        <item x="5"/>
        <item x="15"/>
        <item x="4"/>
        <item x="32"/>
        <item x="51"/>
        <item x="3"/>
        <item x="39"/>
        <item x="57"/>
        <item x="26"/>
        <item x="31"/>
        <item x="30"/>
        <item x="42"/>
        <item x="48"/>
        <item x="28"/>
        <item x="22"/>
        <item x="12"/>
        <item x="23"/>
        <item x="34"/>
        <item x="16"/>
        <item x="35"/>
        <item x="9"/>
        <item x="38"/>
        <item x="18"/>
        <item x="43"/>
        <item x="11"/>
        <item x="17"/>
        <item x="41"/>
        <item x="40"/>
        <item x="0"/>
        <item x="53"/>
        <item x="20"/>
        <item x="47"/>
        <item x="50"/>
        <item x="8"/>
        <item x="52"/>
        <item x="56"/>
        <item x="21"/>
        <item x="45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ragToRow="0" dragToCol="0" dragToPage="0" showAll="0" defaultSubtotal="0"/>
  </pivotFields>
  <rowFields count="1">
    <field x="6"/>
  </rowFields>
  <rowItems count="5">
    <i>
      <x/>
    </i>
    <i>
      <x v="4"/>
    </i>
    <i>
      <x v="3"/>
    </i>
    <i>
      <x v="2"/>
    </i>
    <i>
      <x v="1"/>
    </i>
  </rowItems>
  <colItems count="1">
    <i/>
  </colItems>
  <dataFields count="1">
    <dataField name="Average of User Rating (1-5)" fld="9" subtotal="average" baseField="0" baseItem="0"/>
  </dataFields>
  <formats count="16">
    <format dxfId="364">
      <pivotArea collapsedLevelsAreSubtotals="1" fieldPosition="0">
        <references count="1">
          <reference field="6" count="0"/>
        </references>
      </pivotArea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field="6" type="button" dataOnly="0" labelOnly="1" outline="0" axis="axisRow" fieldPosition="0"/>
    </format>
    <format dxfId="360">
      <pivotArea dataOnly="0" labelOnly="1" fieldPosition="0">
        <references count="1">
          <reference field="6" count="0"/>
        </references>
      </pivotArea>
    </format>
    <format dxfId="359">
      <pivotArea dataOnly="0" labelOnly="1" outline="0" axis="axisValues" fieldPosition="0"/>
    </format>
    <format dxfId="358">
      <pivotArea type="all" dataOnly="0" outline="0" fieldPosition="0"/>
    </format>
    <format dxfId="357">
      <pivotArea outline="0" collapsedLevelsAreSubtotals="1" fieldPosition="0"/>
    </format>
    <format dxfId="356">
      <pivotArea field="6" type="button" dataOnly="0" labelOnly="1" outline="0" axis="axisRow" fieldPosition="0"/>
    </format>
    <format dxfId="355">
      <pivotArea dataOnly="0" labelOnly="1" fieldPosition="0">
        <references count="1">
          <reference field="6" count="0"/>
        </references>
      </pivotArea>
    </format>
    <format dxfId="354">
      <pivotArea dataOnly="0" labelOnly="1" outline="0" axis="axisValues" fieldPosition="0"/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field="6" type="button" dataOnly="0" labelOnly="1" outline="0" axis="axisRow" fieldPosition="0"/>
    </format>
    <format dxfId="350">
      <pivotArea dataOnly="0" labelOnly="1" fieldPosition="0">
        <references count="1">
          <reference field="6" count="0"/>
        </references>
      </pivotArea>
    </format>
    <format dxfId="349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44068-EF28-444B-AAE0-536BB76F0486}" name="PivotTable3" cacheId="25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rowHeaderCaption="Priority">
  <location ref="A19:B23" firstHeaderRow="1" firstDataRow="1" firstDataCol="1"/>
  <pivotFields count="11">
    <pivotField showAll="0"/>
    <pivotField numFmtId="164" showAll="0">
      <items count="59">
        <item x="24"/>
        <item x="2"/>
        <item x="13"/>
        <item x="33"/>
        <item x="46"/>
        <item x="54"/>
        <item x="37"/>
        <item x="10"/>
        <item x="29"/>
        <item x="7"/>
        <item x="1"/>
        <item x="36"/>
        <item x="6"/>
        <item x="27"/>
        <item x="25"/>
        <item x="55"/>
        <item x="44"/>
        <item x="19"/>
        <item x="49"/>
        <item x="14"/>
        <item x="5"/>
        <item x="15"/>
        <item x="4"/>
        <item x="32"/>
        <item x="51"/>
        <item x="3"/>
        <item x="39"/>
        <item x="57"/>
        <item x="26"/>
        <item x="31"/>
        <item x="30"/>
        <item x="42"/>
        <item x="48"/>
        <item x="28"/>
        <item x="22"/>
        <item x="12"/>
        <item x="23"/>
        <item x="34"/>
        <item x="16"/>
        <item x="35"/>
        <item x="9"/>
        <item x="38"/>
        <item x="18"/>
        <item x="43"/>
        <item x="11"/>
        <item x="17"/>
        <item x="41"/>
        <item x="40"/>
        <item x="0"/>
        <item x="53"/>
        <item x="20"/>
        <item x="47"/>
        <item x="50"/>
        <item x="8"/>
        <item x="52"/>
        <item x="56"/>
        <item x="21"/>
        <item x="45"/>
        <item t="default"/>
      </items>
    </pivotField>
    <pivotField showAll="0"/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Time to Resolution (hrs)" fld="8" subtotal="average" baseField="0" baseItem="0" numFmtId="2"/>
  </dataFields>
  <formats count="13">
    <format dxfId="377">
      <pivotArea collapsedLevelsAreSubtotals="1" fieldPosition="0">
        <references count="1">
          <reference field="4" count="0"/>
        </references>
      </pivotArea>
    </format>
    <format dxfId="376">
      <pivotArea field="4" type="button" dataOnly="0" labelOnly="1" outline="0" axis="axisRow" fieldPosition="0"/>
    </format>
    <format dxfId="375">
      <pivotArea dataOnly="0" labelOnly="1" fieldPosition="0">
        <references count="1">
          <reference field="4" count="0"/>
        </references>
      </pivotArea>
    </format>
    <format dxfId="374">
      <pivotArea dataOnly="0" labelOnly="1" outline="0" axis="axisValues" fieldPosition="0"/>
    </format>
    <format dxfId="373">
      <pivotArea collapsedLevelsAreSubtotals="1" fieldPosition="0">
        <references count="1">
          <reference field="4" count="0"/>
        </references>
      </pivotArea>
    </format>
    <format dxfId="372">
      <pivotArea field="4" type="button" dataOnly="0" labelOnly="1" outline="0" axis="axisRow" fieldPosition="0"/>
    </format>
    <format dxfId="371">
      <pivotArea dataOnly="0" labelOnly="1" fieldPosition="0">
        <references count="1">
          <reference field="4" count="0"/>
        </references>
      </pivotArea>
    </format>
    <format dxfId="370">
      <pivotArea dataOnly="0" labelOnly="1" outline="0" axis="axisValues" fieldPosition="0"/>
    </format>
    <format dxfId="369">
      <pivotArea collapsedLevelsAreSubtotals="1" fieldPosition="0">
        <references count="1">
          <reference field="4" count="0"/>
        </references>
      </pivotArea>
    </format>
    <format dxfId="368">
      <pivotArea field="4" type="button" dataOnly="0" labelOnly="1" outline="0" axis="axisRow" fieldPosition="0"/>
    </format>
    <format dxfId="367">
      <pivotArea dataOnly="0" labelOnly="1" fieldPosition="0">
        <references count="1">
          <reference field="4" count="0"/>
        </references>
      </pivotArea>
    </format>
    <format dxfId="366">
      <pivotArea dataOnly="0" labelOnly="1" outline="0" axis="axisValues" fieldPosition="0"/>
    </format>
    <format dxfId="3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B27BE-64AB-41BA-8568-2B00B2E380F0}" name="PivotTable2" cacheId="25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rowHeaderCaption="Platform">
  <location ref="A12:B15" firstHeaderRow="1" firstDataRow="1" firstDataCol="1"/>
  <pivotFields count="11">
    <pivotField dataField="1" showAll="0"/>
    <pivotField numFmtId="164" showAll="0">
      <items count="59">
        <item x="24"/>
        <item x="2"/>
        <item x="13"/>
        <item x="33"/>
        <item x="46"/>
        <item x="54"/>
        <item x="37"/>
        <item x="10"/>
        <item x="29"/>
        <item x="7"/>
        <item x="1"/>
        <item x="36"/>
        <item x="6"/>
        <item x="27"/>
        <item x="25"/>
        <item x="55"/>
        <item x="44"/>
        <item x="19"/>
        <item x="49"/>
        <item x="14"/>
        <item x="5"/>
        <item x="15"/>
        <item x="4"/>
        <item x="32"/>
        <item x="51"/>
        <item x="3"/>
        <item x="39"/>
        <item x="57"/>
        <item x="26"/>
        <item x="31"/>
        <item x="30"/>
        <item x="42"/>
        <item x="48"/>
        <item x="28"/>
        <item x="22"/>
        <item x="12"/>
        <item x="23"/>
        <item x="34"/>
        <item x="16"/>
        <item x="35"/>
        <item x="9"/>
        <item x="38"/>
        <item x="18"/>
        <item x="43"/>
        <item x="11"/>
        <item x="17"/>
        <item x="41"/>
        <item x="40"/>
        <item x="0"/>
        <item x="53"/>
        <item x="20"/>
        <item x="47"/>
        <item x="50"/>
        <item x="8"/>
        <item x="52"/>
        <item x="56"/>
        <item x="21"/>
        <item x="45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Count of Ticket ID" fld="0" subtotal="count" baseField="0" baseItem="0"/>
  </dataFields>
  <formats count="13">
    <format dxfId="390">
      <pivotArea collapsedLevelsAreSubtotals="1" fieldPosition="0">
        <references count="1">
          <reference field="5" count="0"/>
        </references>
      </pivotArea>
    </format>
    <format dxfId="389">
      <pivotArea field="5" type="button" dataOnly="0" labelOnly="1" outline="0" axis="axisRow" fieldPosition="0"/>
    </format>
    <format dxfId="388">
      <pivotArea dataOnly="0" labelOnly="1" fieldPosition="0">
        <references count="1">
          <reference field="5" count="0"/>
        </references>
      </pivotArea>
    </format>
    <format dxfId="387">
      <pivotArea dataOnly="0" labelOnly="1" outline="0" axis="axisValues" fieldPosition="0"/>
    </format>
    <format dxfId="386">
      <pivotArea collapsedLevelsAreSubtotals="1" fieldPosition="0">
        <references count="1">
          <reference field="5" count="0"/>
        </references>
      </pivotArea>
    </format>
    <format dxfId="385">
      <pivotArea field="5" type="button" dataOnly="0" labelOnly="1" outline="0" axis="axisRow" fieldPosition="0"/>
    </format>
    <format dxfId="384">
      <pivotArea dataOnly="0" labelOnly="1" fieldPosition="0">
        <references count="1">
          <reference field="5" count="0"/>
        </references>
      </pivotArea>
    </format>
    <format dxfId="383">
      <pivotArea dataOnly="0" labelOnly="1" outline="0" axis="axisValues" fieldPosition="0"/>
    </format>
    <format dxfId="382">
      <pivotArea type="all" dataOnly="0" outline="0" fieldPosition="0"/>
    </format>
    <format dxfId="381">
      <pivotArea outline="0" collapsedLevelsAreSubtotals="1" fieldPosition="0"/>
    </format>
    <format dxfId="380">
      <pivotArea field="5" type="button" dataOnly="0" labelOnly="1" outline="0" axis="axisRow" fieldPosition="0"/>
    </format>
    <format dxfId="379">
      <pivotArea dataOnly="0" labelOnly="1" fieldPosition="0">
        <references count="1">
          <reference field="5" count="0"/>
        </references>
      </pivotArea>
    </format>
    <format dxfId="3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EC6D2-DA3E-47FA-856A-DAFEBE5BED3A}" name="PivotTable1" cacheId="25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outline="1" outlineData="1" multipleFieldFilters="0" rowHeaderCaption="Issue Type">
  <location ref="A2:B8" firstHeaderRow="1" firstDataRow="1" firstDataCol="1"/>
  <pivotFields count="11">
    <pivotField dataField="1" showAll="0"/>
    <pivotField numFmtId="164" showAll="0">
      <items count="59">
        <item x="24"/>
        <item x="2"/>
        <item x="13"/>
        <item x="33"/>
        <item x="46"/>
        <item x="54"/>
        <item x="37"/>
        <item x="10"/>
        <item x="29"/>
        <item x="7"/>
        <item x="1"/>
        <item x="36"/>
        <item x="6"/>
        <item x="27"/>
        <item x="25"/>
        <item x="55"/>
        <item x="44"/>
        <item x="19"/>
        <item x="49"/>
        <item x="14"/>
        <item x="5"/>
        <item x="15"/>
        <item x="4"/>
        <item x="32"/>
        <item x="51"/>
        <item x="3"/>
        <item x="39"/>
        <item x="57"/>
        <item x="26"/>
        <item x="31"/>
        <item x="30"/>
        <item x="42"/>
        <item x="48"/>
        <item x="28"/>
        <item x="22"/>
        <item x="12"/>
        <item x="23"/>
        <item x="34"/>
        <item x="16"/>
        <item x="35"/>
        <item x="9"/>
        <item x="38"/>
        <item x="18"/>
        <item x="43"/>
        <item x="11"/>
        <item x="17"/>
        <item x="41"/>
        <item x="40"/>
        <item x="0"/>
        <item x="53"/>
        <item x="20"/>
        <item x="47"/>
        <item x="50"/>
        <item x="8"/>
        <item x="52"/>
        <item x="56"/>
        <item x="21"/>
        <item x="45"/>
        <item t="default"/>
      </items>
    </pivotField>
    <pivotField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Number of ID" fld="0" subtotal="count" baseField="0" baseItem="0"/>
  </dataFields>
  <formats count="25">
    <format dxfId="415">
      <pivotArea type="all" dataOnly="0" outline="0" fieldPosition="0"/>
    </format>
    <format dxfId="414">
      <pivotArea outline="0" collapsedLevelsAreSubtotals="1" fieldPosition="0"/>
    </format>
    <format dxfId="413">
      <pivotArea field="3" type="button" dataOnly="0" labelOnly="1" outline="0" axis="axisRow" fieldPosition="0"/>
    </format>
    <format dxfId="412">
      <pivotArea dataOnly="0" labelOnly="1" fieldPosition="0">
        <references count="1">
          <reference field="3" count="0"/>
        </references>
      </pivotArea>
    </format>
    <format dxfId="411">
      <pivotArea dataOnly="0" labelOnly="1" grandRow="1" outline="0" fieldPosition="0"/>
    </format>
    <format dxfId="410">
      <pivotArea dataOnly="0" labelOnly="1" outline="0" axis="axisValues" fieldPosition="0"/>
    </format>
    <format dxfId="409">
      <pivotArea type="all" dataOnly="0" outline="0" fieldPosition="0"/>
    </format>
    <format dxfId="408">
      <pivotArea outline="0" collapsedLevelsAreSubtotals="1" fieldPosition="0"/>
    </format>
    <format dxfId="407">
      <pivotArea field="3" type="button" dataOnly="0" labelOnly="1" outline="0" axis="axisRow" fieldPosition="0"/>
    </format>
    <format dxfId="406">
      <pivotArea dataOnly="0" labelOnly="1" fieldPosition="0">
        <references count="1">
          <reference field="3" count="0"/>
        </references>
      </pivotArea>
    </format>
    <format dxfId="405">
      <pivotArea dataOnly="0" labelOnly="1" grandRow="1" outline="0" fieldPosition="0"/>
    </format>
    <format dxfId="404">
      <pivotArea dataOnly="0" labelOnly="1" outline="0" axis="axisValues" fieldPosition="0"/>
    </format>
    <format dxfId="403">
      <pivotArea collapsedLevelsAreSubtotals="1" fieldPosition="0">
        <references count="1">
          <reference field="3" count="1">
            <x v="0"/>
          </reference>
        </references>
      </pivotArea>
    </format>
    <format dxfId="402">
      <pivotArea dataOnly="0" labelOnly="1" fieldPosition="0">
        <references count="1">
          <reference field="3" count="1">
            <x v="0"/>
          </reference>
        </references>
      </pivotArea>
    </format>
    <format dxfId="401">
      <pivotArea outline="0" collapsedLevelsAreSubtotals="1" fieldPosition="0"/>
    </format>
    <format dxfId="400">
      <pivotArea dataOnly="0" labelOnly="1" fieldPosition="0">
        <references count="1">
          <reference field="3" count="0"/>
        </references>
      </pivotArea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field="3" type="button" dataOnly="0" labelOnly="1" outline="0" axis="axisRow" fieldPosition="0"/>
    </format>
    <format dxfId="396">
      <pivotArea dataOnly="0" labelOnly="1" fieldPosition="0">
        <references count="1">
          <reference field="3" count="0"/>
        </references>
      </pivotArea>
    </format>
    <format dxfId="395">
      <pivotArea dataOnly="0" labelOnly="1" outline="0" axis="axisValues" fieldPosition="0"/>
    </format>
    <format dxfId="394">
      <pivotArea collapsedLevelsAreSubtotals="1" fieldPosition="0">
        <references count="1">
          <reference field="3" count="1">
            <x v="0"/>
          </reference>
        </references>
      </pivotArea>
    </format>
    <format dxfId="393">
      <pivotArea dataOnly="0" labelOnly="1" fieldPosition="0">
        <references count="1">
          <reference field="3" count="1">
            <x v="0"/>
          </reference>
        </references>
      </pivotArea>
    </format>
    <format dxfId="392">
      <pivotArea collapsedLevelsAreSubtotals="1" fieldPosition="0">
        <references count="1">
          <reference field="3" count="1">
            <x v="0"/>
          </reference>
        </references>
      </pivotArea>
    </format>
    <format dxfId="391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73CB2A-B208-4458-96A4-98BA5AE4E897}" name="Data" displayName="Data" ref="A1:J101" totalsRowShown="0" headerRowDxfId="416" dataDxfId="417">
  <autoFilter ref="A1:J101" xr:uid="{C673CB2A-B208-4458-96A4-98BA5AE4E897}"/>
  <tableColumns count="10">
    <tableColumn id="1" xr3:uid="{8B447C49-3F3B-497B-8FE9-FFF83D9BB68B}" name="Ticket ID" dataDxfId="348"/>
    <tableColumn id="2" xr3:uid="{1915B937-AE33-4AE0-BBDF-545F67451EE3}" name="Date Submitted" dataDxfId="347"/>
    <tableColumn id="11" xr3:uid="{C804572F-F233-44F0-9562-C01548EC6A48}" name="Month" dataDxfId="346"/>
    <tableColumn id="3" xr3:uid="{49DB0942-4364-4BF2-B7D2-8B7B702BC2BD}" name="Issue Type" dataDxfId="424"/>
    <tableColumn id="4" xr3:uid="{AB38AF88-C405-41F2-B29F-76D31B4E2AE1}" name="Priority" dataDxfId="423"/>
    <tableColumn id="5" xr3:uid="{4A6568B0-00B9-42C8-B111-DA6E6253E218}" name="Platform" dataDxfId="422"/>
    <tableColumn id="6" xr3:uid="{3BC5008E-782A-4542-B2EC-0F81610A2A03}" name="Category" dataDxfId="421"/>
    <tableColumn id="7" xr3:uid="{10921E2A-BADE-4B83-9705-A93018CF9A69}" name="Status" dataDxfId="420"/>
    <tableColumn id="8" xr3:uid="{88ABF105-07F5-46D2-9C31-EC484FE2D984}" name="Time to Resolution (hrs)" dataDxfId="419"/>
    <tableColumn id="9" xr3:uid="{8AC4E7EB-04F6-4FBE-8C8D-C3DEE23E5B59}" name="User Rating (1-5)" dataDxfId="418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_Submitted" xr10:uid="{D8E17A8D-0D1B-444A-800F-9AFA0AB99FE8}" sourceName="Date Submitted">
  <pivotTables>
    <pivotTable tabId="3" name="PivotTable9"/>
    <pivotTable tabId="3" name="PivotTable1"/>
    <pivotTable tabId="3" name="PivotTable2"/>
    <pivotTable tabId="3" name="PivotTable3"/>
    <pivotTable tabId="3" name="PivotTable4"/>
    <pivotTable tabId="3" name="PivotTable8"/>
  </pivotTables>
  <state minimalRefreshVersion="6" lastRefreshVersion="6" pivotCacheId="152917912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Submitted" xr10:uid="{9835DF4D-7AE7-4BE5-9DCB-68416D72FF90}" cache="NativeTimeline_Date_Submitted" caption="Date Submitted" level="2" selectionLevel="2" scrollPosition="2025-01-01T00:00:00"/>
</timeline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1/relationships/timeline" Target="../timelines/timelin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5823-D214-46C1-AB1D-502DCDD51721}">
  <dimension ref="A1:A63"/>
  <sheetViews>
    <sheetView workbookViewId="0">
      <selection activeCell="A3" sqref="A3"/>
    </sheetView>
  </sheetViews>
  <sheetFormatPr defaultRowHeight="14.4" x14ac:dyDescent="0.3"/>
  <cols>
    <col min="1" max="1" width="246.77734375" bestFit="1" customWidth="1"/>
  </cols>
  <sheetData>
    <row r="1" spans="1:1" ht="18" x14ac:dyDescent="0.35">
      <c r="A1" s="17" t="s">
        <v>149</v>
      </c>
    </row>
    <row r="2" spans="1:1" x14ac:dyDescent="0.3">
      <c r="A2" s="18"/>
    </row>
    <row r="4" spans="1:1" ht="15.6" x14ac:dyDescent="0.3">
      <c r="A4" s="19" t="s">
        <v>150</v>
      </c>
    </row>
    <row r="5" spans="1:1" x14ac:dyDescent="0.3">
      <c r="A5" s="20" t="s">
        <v>151</v>
      </c>
    </row>
    <row r="6" spans="1:1" x14ac:dyDescent="0.3">
      <c r="A6" t="s">
        <v>152</v>
      </c>
    </row>
    <row r="7" spans="1:1" x14ac:dyDescent="0.3">
      <c r="A7" s="20" t="s">
        <v>153</v>
      </c>
    </row>
    <row r="8" spans="1:1" x14ac:dyDescent="0.3">
      <c r="A8" t="s">
        <v>154</v>
      </c>
    </row>
    <row r="9" spans="1:1" x14ac:dyDescent="0.3">
      <c r="A9" t="s">
        <v>155</v>
      </c>
    </row>
    <row r="10" spans="1:1" x14ac:dyDescent="0.3">
      <c r="A10" t="s">
        <v>156</v>
      </c>
    </row>
    <row r="11" spans="1:1" x14ac:dyDescent="0.3">
      <c r="A11" t="s">
        <v>157</v>
      </c>
    </row>
    <row r="13" spans="1:1" ht="15.6" x14ac:dyDescent="0.3">
      <c r="A13" s="19" t="s">
        <v>158</v>
      </c>
    </row>
    <row r="14" spans="1:1" x14ac:dyDescent="0.3">
      <c r="A14" s="20" t="s">
        <v>159</v>
      </c>
    </row>
    <row r="15" spans="1:1" x14ac:dyDescent="0.3">
      <c r="A15" t="s">
        <v>160</v>
      </c>
    </row>
    <row r="16" spans="1:1" x14ac:dyDescent="0.3">
      <c r="A16" s="20" t="s">
        <v>153</v>
      </c>
    </row>
    <row r="17" spans="1:1" x14ac:dyDescent="0.3">
      <c r="A17" t="s">
        <v>161</v>
      </c>
    </row>
    <row r="18" spans="1:1" x14ac:dyDescent="0.3">
      <c r="A18" t="s">
        <v>162</v>
      </c>
    </row>
    <row r="19" spans="1:1" x14ac:dyDescent="0.3">
      <c r="A19" t="s">
        <v>163</v>
      </c>
    </row>
    <row r="21" spans="1:1" ht="15.6" x14ac:dyDescent="0.3">
      <c r="A21" s="19" t="s">
        <v>164</v>
      </c>
    </row>
    <row r="22" spans="1:1" x14ac:dyDescent="0.3">
      <c r="A22" s="20" t="s">
        <v>165</v>
      </c>
    </row>
    <row r="23" spans="1:1" x14ac:dyDescent="0.3">
      <c r="A23" t="s">
        <v>166</v>
      </c>
    </row>
    <row r="24" spans="1:1" x14ac:dyDescent="0.3">
      <c r="A24" s="20" t="s">
        <v>153</v>
      </c>
    </row>
    <row r="25" spans="1:1" x14ac:dyDescent="0.3">
      <c r="A25" t="s">
        <v>167</v>
      </c>
    </row>
    <row r="26" spans="1:1" x14ac:dyDescent="0.3">
      <c r="A26" t="s">
        <v>168</v>
      </c>
    </row>
    <row r="27" spans="1:1" x14ac:dyDescent="0.3">
      <c r="A27" t="s">
        <v>169</v>
      </c>
    </row>
    <row r="28" spans="1:1" x14ac:dyDescent="0.3">
      <c r="A28" t="s">
        <v>170</v>
      </c>
    </row>
    <row r="30" spans="1:1" ht="15.6" x14ac:dyDescent="0.3">
      <c r="A30" s="19" t="s">
        <v>171</v>
      </c>
    </row>
    <row r="31" spans="1:1" x14ac:dyDescent="0.3">
      <c r="A31" s="20" t="s">
        <v>172</v>
      </c>
    </row>
    <row r="32" spans="1:1" x14ac:dyDescent="0.3">
      <c r="A32" t="s">
        <v>173</v>
      </c>
    </row>
    <row r="33" spans="1:1" x14ac:dyDescent="0.3">
      <c r="A33" s="20" t="s">
        <v>153</v>
      </c>
    </row>
    <row r="34" spans="1:1" x14ac:dyDescent="0.3">
      <c r="A34" t="s">
        <v>174</v>
      </c>
    </row>
    <row r="35" spans="1:1" x14ac:dyDescent="0.3">
      <c r="A35" t="s">
        <v>175</v>
      </c>
    </row>
    <row r="36" spans="1:1" x14ac:dyDescent="0.3">
      <c r="A36" t="s">
        <v>176</v>
      </c>
    </row>
    <row r="37" spans="1:1" x14ac:dyDescent="0.3">
      <c r="A37" t="s">
        <v>177</v>
      </c>
    </row>
    <row r="39" spans="1:1" ht="15.6" x14ac:dyDescent="0.3">
      <c r="A39" s="19" t="s">
        <v>178</v>
      </c>
    </row>
    <row r="40" spans="1:1" x14ac:dyDescent="0.3">
      <c r="A40" s="20" t="s">
        <v>179</v>
      </c>
    </row>
    <row r="41" spans="1:1" x14ac:dyDescent="0.3">
      <c r="A41" t="s">
        <v>180</v>
      </c>
    </row>
    <row r="42" spans="1:1" x14ac:dyDescent="0.3">
      <c r="A42" s="20" t="s">
        <v>153</v>
      </c>
    </row>
    <row r="43" spans="1:1" x14ac:dyDescent="0.3">
      <c r="A43" t="s">
        <v>181</v>
      </c>
    </row>
    <row r="44" spans="1:1" x14ac:dyDescent="0.3">
      <c r="A44" t="s">
        <v>182</v>
      </c>
    </row>
    <row r="45" spans="1:1" x14ac:dyDescent="0.3">
      <c r="A45" t="s">
        <v>183</v>
      </c>
    </row>
    <row r="47" spans="1:1" ht="15.6" x14ac:dyDescent="0.3">
      <c r="A47" s="19" t="s">
        <v>184</v>
      </c>
    </row>
    <row r="48" spans="1:1" x14ac:dyDescent="0.3">
      <c r="A48" s="20" t="s">
        <v>185</v>
      </c>
    </row>
    <row r="49" spans="1:1" x14ac:dyDescent="0.3">
      <c r="A49" t="s">
        <v>186</v>
      </c>
    </row>
    <row r="50" spans="1:1" x14ac:dyDescent="0.3">
      <c r="A50" s="20" t="s">
        <v>153</v>
      </c>
    </row>
    <row r="51" spans="1:1" x14ac:dyDescent="0.3">
      <c r="A51" t="s">
        <v>187</v>
      </c>
    </row>
    <row r="52" spans="1:1" x14ac:dyDescent="0.3">
      <c r="A52" t="s">
        <v>188</v>
      </c>
    </row>
    <row r="53" spans="1:1" x14ac:dyDescent="0.3">
      <c r="A53" t="s">
        <v>189</v>
      </c>
    </row>
    <row r="54" spans="1:1" x14ac:dyDescent="0.3">
      <c r="A54" t="s">
        <v>190</v>
      </c>
    </row>
    <row r="56" spans="1:1" ht="15.6" x14ac:dyDescent="0.3">
      <c r="A56" s="19" t="s">
        <v>191</v>
      </c>
    </row>
    <row r="57" spans="1:1" x14ac:dyDescent="0.3">
      <c r="A57" s="20" t="s">
        <v>192</v>
      </c>
    </row>
    <row r="58" spans="1:1" x14ac:dyDescent="0.3">
      <c r="A58" t="s">
        <v>193</v>
      </c>
    </row>
    <row r="59" spans="1:1" x14ac:dyDescent="0.3">
      <c r="A59" s="20" t="s">
        <v>153</v>
      </c>
    </row>
    <row r="60" spans="1:1" x14ac:dyDescent="0.3">
      <c r="A60" t="s">
        <v>194</v>
      </c>
    </row>
    <row r="61" spans="1:1" x14ac:dyDescent="0.3">
      <c r="A61" t="s">
        <v>195</v>
      </c>
    </row>
    <row r="62" spans="1:1" x14ac:dyDescent="0.3">
      <c r="A62" t="s">
        <v>196</v>
      </c>
    </row>
    <row r="63" spans="1:1" x14ac:dyDescent="0.3">
      <c r="A6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ED7E-1135-4899-A24C-BC7524C89DB9}">
  <dimension ref="A1:M101"/>
  <sheetViews>
    <sheetView workbookViewId="0">
      <selection activeCell="C18" sqref="C18"/>
    </sheetView>
  </sheetViews>
  <sheetFormatPr defaultRowHeight="14.4" x14ac:dyDescent="0.3"/>
  <cols>
    <col min="1" max="1" width="10.109375" customWidth="1"/>
    <col min="2" max="3" width="16" customWidth="1"/>
    <col min="4" max="4" width="25.5546875" customWidth="1"/>
    <col min="5" max="5" width="12" customWidth="1"/>
    <col min="6" max="6" width="17.5546875" customWidth="1"/>
    <col min="7" max="7" width="24.44140625" customWidth="1"/>
    <col min="8" max="8" width="15.44140625" customWidth="1"/>
    <col min="9" max="9" width="22.88671875" customWidth="1"/>
    <col min="10" max="10" width="16.88671875" customWidth="1"/>
    <col min="11" max="11" width="11.33203125" bestFit="1" customWidth="1"/>
    <col min="12" max="13" width="12.33203125" bestFit="1" customWidth="1"/>
  </cols>
  <sheetData>
    <row r="1" spans="1:13" x14ac:dyDescent="0.3">
      <c r="A1" s="1" t="s">
        <v>0</v>
      </c>
      <c r="B1" s="1" t="s">
        <v>1</v>
      </c>
      <c r="C1" s="1" t="s">
        <v>139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3" x14ac:dyDescent="0.3">
      <c r="A2" s="2" t="s">
        <v>9</v>
      </c>
      <c r="B2" s="3">
        <v>45738</v>
      </c>
      <c r="C2" s="3" t="s">
        <v>140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>
        <v>39.4</v>
      </c>
      <c r="J2" s="2">
        <v>3.3</v>
      </c>
      <c r="K2" s="2"/>
      <c r="L2" s="2"/>
      <c r="M2" s="2"/>
    </row>
    <row r="3" spans="1:13" x14ac:dyDescent="0.3">
      <c r="A3" s="2" t="s">
        <v>15</v>
      </c>
      <c r="B3" s="3">
        <v>45672</v>
      </c>
      <c r="C3" s="3" t="s">
        <v>141</v>
      </c>
      <c r="D3" s="2" t="s">
        <v>16</v>
      </c>
      <c r="E3" s="2" t="s">
        <v>17</v>
      </c>
      <c r="F3" s="2" t="s">
        <v>12</v>
      </c>
      <c r="G3" s="2" t="s">
        <v>18</v>
      </c>
      <c r="H3" s="2" t="s">
        <v>19</v>
      </c>
      <c r="I3" s="2">
        <v>53.3</v>
      </c>
      <c r="J3" s="2">
        <v>3.7</v>
      </c>
      <c r="K3" s="2"/>
      <c r="L3" s="2"/>
      <c r="M3" s="2"/>
    </row>
    <row r="4" spans="1:13" x14ac:dyDescent="0.3">
      <c r="A4" s="2" t="s">
        <v>20</v>
      </c>
      <c r="B4" s="3">
        <v>45661</v>
      </c>
      <c r="C4" s="3" t="s">
        <v>141</v>
      </c>
      <c r="D4" s="2" t="s">
        <v>10</v>
      </c>
      <c r="E4" s="2" t="s">
        <v>21</v>
      </c>
      <c r="F4" s="2" t="s">
        <v>22</v>
      </c>
      <c r="G4" s="2" t="s">
        <v>13</v>
      </c>
      <c r="H4" s="2" t="s">
        <v>23</v>
      </c>
      <c r="I4" s="2">
        <v>57.9</v>
      </c>
      <c r="J4" s="2">
        <v>2.2999999999999998</v>
      </c>
      <c r="K4" s="2"/>
      <c r="L4" s="2"/>
      <c r="M4" s="2"/>
    </row>
    <row r="5" spans="1:13" x14ac:dyDescent="0.3">
      <c r="A5" s="2" t="s">
        <v>24</v>
      </c>
      <c r="B5" s="3">
        <v>45693</v>
      </c>
      <c r="C5" s="3" t="s">
        <v>142</v>
      </c>
      <c r="D5" s="2" t="s">
        <v>25</v>
      </c>
      <c r="E5" s="2" t="s">
        <v>21</v>
      </c>
      <c r="F5" s="2" t="s">
        <v>12</v>
      </c>
      <c r="G5" s="2" t="s">
        <v>26</v>
      </c>
      <c r="H5" s="2" t="s">
        <v>23</v>
      </c>
      <c r="I5" s="2">
        <v>64.8</v>
      </c>
      <c r="J5" s="2">
        <v>3</v>
      </c>
      <c r="K5" s="2"/>
      <c r="L5" s="2"/>
      <c r="M5" s="2"/>
    </row>
    <row r="6" spans="1:13" x14ac:dyDescent="0.3">
      <c r="A6" s="2" t="s">
        <v>27</v>
      </c>
      <c r="B6" s="3">
        <v>45689</v>
      </c>
      <c r="C6" s="3" t="s">
        <v>142</v>
      </c>
      <c r="D6" s="2" t="s">
        <v>28</v>
      </c>
      <c r="E6" s="2" t="s">
        <v>11</v>
      </c>
      <c r="F6" s="2" t="s">
        <v>22</v>
      </c>
      <c r="G6" s="2" t="s">
        <v>26</v>
      </c>
      <c r="H6" s="2" t="s">
        <v>14</v>
      </c>
      <c r="I6" s="2">
        <v>35.9</v>
      </c>
      <c r="J6" s="2">
        <v>2.2999999999999998</v>
      </c>
      <c r="K6" s="2"/>
      <c r="L6" s="2"/>
      <c r="M6" s="2"/>
    </row>
    <row r="7" spans="1:13" x14ac:dyDescent="0.3">
      <c r="A7" s="2" t="s">
        <v>29</v>
      </c>
      <c r="B7" s="3">
        <v>45686</v>
      </c>
      <c r="C7" s="3" t="s">
        <v>141</v>
      </c>
      <c r="D7" s="2" t="s">
        <v>25</v>
      </c>
      <c r="E7" s="2" t="s">
        <v>21</v>
      </c>
      <c r="F7" s="2" t="s">
        <v>12</v>
      </c>
      <c r="G7" s="2" t="s">
        <v>26</v>
      </c>
      <c r="H7" s="2" t="s">
        <v>14</v>
      </c>
      <c r="I7" s="2">
        <v>20.7</v>
      </c>
      <c r="J7" s="2">
        <v>3</v>
      </c>
      <c r="K7" s="2"/>
      <c r="L7" s="2"/>
      <c r="M7" s="2"/>
    </row>
    <row r="8" spans="1:13" x14ac:dyDescent="0.3">
      <c r="A8" s="2" t="s">
        <v>30</v>
      </c>
      <c r="B8" s="3">
        <v>45675</v>
      </c>
      <c r="C8" s="3" t="s">
        <v>141</v>
      </c>
      <c r="D8" s="2" t="s">
        <v>10</v>
      </c>
      <c r="E8" s="2" t="s">
        <v>31</v>
      </c>
      <c r="F8" s="2" t="s">
        <v>32</v>
      </c>
      <c r="G8" s="2" t="s">
        <v>33</v>
      </c>
      <c r="H8" s="2" t="s">
        <v>23</v>
      </c>
      <c r="I8" s="2">
        <v>35.700000000000003</v>
      </c>
      <c r="J8" s="2">
        <v>2.4</v>
      </c>
      <c r="K8" s="2"/>
      <c r="L8" s="2"/>
      <c r="M8" s="2"/>
    </row>
    <row r="9" spans="1:13" x14ac:dyDescent="0.3">
      <c r="A9" s="2" t="s">
        <v>34</v>
      </c>
      <c r="B9" s="3">
        <v>45671</v>
      </c>
      <c r="C9" s="3" t="s">
        <v>141</v>
      </c>
      <c r="D9" s="2" t="s">
        <v>16</v>
      </c>
      <c r="E9" s="2" t="s">
        <v>11</v>
      </c>
      <c r="F9" s="2" t="s">
        <v>12</v>
      </c>
      <c r="G9" s="2" t="s">
        <v>13</v>
      </c>
      <c r="H9" s="2" t="s">
        <v>19</v>
      </c>
      <c r="I9" s="2">
        <v>28.9</v>
      </c>
      <c r="J9" s="2">
        <v>2</v>
      </c>
      <c r="K9" s="2"/>
      <c r="L9" s="2"/>
      <c r="M9" s="2"/>
    </row>
    <row r="10" spans="1:13" x14ac:dyDescent="0.3">
      <c r="A10" s="2" t="s">
        <v>35</v>
      </c>
      <c r="B10" s="3">
        <v>45743</v>
      </c>
      <c r="C10" s="3" t="s">
        <v>140</v>
      </c>
      <c r="D10" s="2" t="s">
        <v>36</v>
      </c>
      <c r="E10" s="2" t="s">
        <v>21</v>
      </c>
      <c r="F10" s="2" t="s">
        <v>22</v>
      </c>
      <c r="G10" s="2" t="s">
        <v>26</v>
      </c>
      <c r="H10" s="2" t="s">
        <v>14</v>
      </c>
      <c r="I10" s="2">
        <v>48.7</v>
      </c>
      <c r="J10" s="2">
        <v>2.1</v>
      </c>
      <c r="K10" s="2"/>
      <c r="L10" s="2"/>
      <c r="M10" s="2"/>
    </row>
    <row r="11" spans="1:13" x14ac:dyDescent="0.3">
      <c r="A11" s="2" t="s">
        <v>37</v>
      </c>
      <c r="B11" s="3">
        <v>45726</v>
      </c>
      <c r="C11" s="3" t="s">
        <v>140</v>
      </c>
      <c r="D11" s="2" t="s">
        <v>38</v>
      </c>
      <c r="E11" s="2" t="s">
        <v>21</v>
      </c>
      <c r="F11" s="2" t="s">
        <v>12</v>
      </c>
      <c r="G11" s="2" t="s">
        <v>39</v>
      </c>
      <c r="H11" s="2" t="s">
        <v>40</v>
      </c>
      <c r="I11" s="2">
        <v>57.8</v>
      </c>
      <c r="J11" s="2">
        <v>3.4</v>
      </c>
      <c r="K11" s="2"/>
      <c r="L11" s="2"/>
      <c r="M11" s="2"/>
    </row>
    <row r="12" spans="1:13" x14ac:dyDescent="0.3">
      <c r="A12" s="2" t="s">
        <v>41</v>
      </c>
      <c r="B12" s="3">
        <v>45669</v>
      </c>
      <c r="C12" s="3" t="s">
        <v>141</v>
      </c>
      <c r="D12" s="2" t="s">
        <v>25</v>
      </c>
      <c r="E12" s="2" t="s">
        <v>31</v>
      </c>
      <c r="F12" s="2" t="s">
        <v>22</v>
      </c>
      <c r="G12" s="2" t="s">
        <v>13</v>
      </c>
      <c r="H12" s="2" t="s">
        <v>19</v>
      </c>
      <c r="I12" s="2">
        <v>52.6</v>
      </c>
      <c r="J12" s="2">
        <v>4.5</v>
      </c>
      <c r="K12" s="2"/>
      <c r="L12" s="2"/>
      <c r="M12" s="2"/>
    </row>
    <row r="13" spans="1:13" x14ac:dyDescent="0.3">
      <c r="A13" s="2" t="s">
        <v>42</v>
      </c>
      <c r="B13" s="3">
        <v>45732</v>
      </c>
      <c r="C13" s="3" t="s">
        <v>140</v>
      </c>
      <c r="D13" s="2" t="s">
        <v>16</v>
      </c>
      <c r="E13" s="2" t="s">
        <v>11</v>
      </c>
      <c r="F13" s="2" t="s">
        <v>22</v>
      </c>
      <c r="G13" s="2" t="s">
        <v>13</v>
      </c>
      <c r="H13" s="2" t="s">
        <v>19</v>
      </c>
      <c r="I13" s="2">
        <v>60.8</v>
      </c>
      <c r="J13" s="2">
        <v>3.2</v>
      </c>
      <c r="K13" s="2"/>
      <c r="L13" s="2"/>
      <c r="M13" s="2"/>
    </row>
    <row r="14" spans="1:13" x14ac:dyDescent="0.3">
      <c r="A14" s="2" t="s">
        <v>43</v>
      </c>
      <c r="B14" s="3">
        <v>45712</v>
      </c>
      <c r="C14" s="3" t="s">
        <v>142</v>
      </c>
      <c r="D14" s="2" t="s">
        <v>38</v>
      </c>
      <c r="E14" s="2" t="s">
        <v>31</v>
      </c>
      <c r="F14" s="2" t="s">
        <v>12</v>
      </c>
      <c r="G14" s="2" t="s">
        <v>33</v>
      </c>
      <c r="H14" s="2" t="s">
        <v>23</v>
      </c>
      <c r="I14" s="2">
        <v>66.3</v>
      </c>
      <c r="J14" s="2">
        <v>3.1</v>
      </c>
      <c r="K14" s="2"/>
      <c r="L14" s="2"/>
      <c r="M14" s="2"/>
    </row>
    <row r="15" spans="1:13" x14ac:dyDescent="0.3">
      <c r="A15" s="2" t="s">
        <v>44</v>
      </c>
      <c r="B15" s="3">
        <v>45662</v>
      </c>
      <c r="C15" s="3" t="s">
        <v>141</v>
      </c>
      <c r="D15" s="2" t="s">
        <v>28</v>
      </c>
      <c r="E15" s="2" t="s">
        <v>11</v>
      </c>
      <c r="F15" s="2" t="s">
        <v>22</v>
      </c>
      <c r="G15" s="2" t="s">
        <v>18</v>
      </c>
      <c r="H15" s="2" t="s">
        <v>14</v>
      </c>
      <c r="I15" s="2">
        <v>70.599999999999994</v>
      </c>
      <c r="J15" s="2">
        <v>1.8</v>
      </c>
      <c r="K15" s="2"/>
      <c r="L15" s="2"/>
      <c r="M15" s="2"/>
    </row>
    <row r="16" spans="1:13" x14ac:dyDescent="0.3">
      <c r="A16" s="2" t="s">
        <v>45</v>
      </c>
      <c r="B16" s="3">
        <v>45661</v>
      </c>
      <c r="C16" s="3" t="s">
        <v>141</v>
      </c>
      <c r="D16" s="2" t="s">
        <v>28</v>
      </c>
      <c r="E16" s="2" t="s">
        <v>11</v>
      </c>
      <c r="F16" s="2" t="s">
        <v>12</v>
      </c>
      <c r="G16" s="2" t="s">
        <v>33</v>
      </c>
      <c r="H16" s="2" t="s">
        <v>19</v>
      </c>
      <c r="I16" s="2">
        <v>39.200000000000003</v>
      </c>
      <c r="J16" s="2">
        <v>2</v>
      </c>
      <c r="K16" s="2"/>
      <c r="L16" s="2"/>
      <c r="M16" s="2"/>
    </row>
    <row r="17" spans="1:13" x14ac:dyDescent="0.3">
      <c r="A17" s="2" t="s">
        <v>46</v>
      </c>
      <c r="B17" s="3">
        <v>45669</v>
      </c>
      <c r="C17" s="3" t="s">
        <v>141</v>
      </c>
      <c r="D17" s="2" t="s">
        <v>38</v>
      </c>
      <c r="E17" s="2" t="s">
        <v>17</v>
      </c>
      <c r="F17" s="2" t="s">
        <v>32</v>
      </c>
      <c r="G17" s="2" t="s">
        <v>26</v>
      </c>
      <c r="H17" s="2" t="s">
        <v>14</v>
      </c>
      <c r="I17" s="2">
        <v>65.400000000000006</v>
      </c>
      <c r="J17" s="2">
        <v>2.6</v>
      </c>
      <c r="K17" s="2"/>
      <c r="L17" s="2"/>
      <c r="M17" s="2"/>
    </row>
    <row r="18" spans="1:13" x14ac:dyDescent="0.3">
      <c r="A18" s="2" t="s">
        <v>47</v>
      </c>
      <c r="B18" s="3">
        <v>45685</v>
      </c>
      <c r="C18" s="3" t="s">
        <v>141</v>
      </c>
      <c r="D18" s="2" t="s">
        <v>28</v>
      </c>
      <c r="E18" s="2" t="s">
        <v>21</v>
      </c>
      <c r="F18" s="2" t="s">
        <v>22</v>
      </c>
      <c r="G18" s="2" t="s">
        <v>39</v>
      </c>
      <c r="H18" s="2" t="s">
        <v>14</v>
      </c>
      <c r="I18" s="2">
        <v>43.2</v>
      </c>
      <c r="J18" s="2">
        <v>3.2</v>
      </c>
      <c r="K18" s="2"/>
      <c r="L18" s="2"/>
      <c r="M18" s="2"/>
    </row>
    <row r="19" spans="1:13" x14ac:dyDescent="0.3">
      <c r="A19" s="2" t="s">
        <v>48</v>
      </c>
      <c r="B19" s="3">
        <v>45687</v>
      </c>
      <c r="C19" s="3" t="s">
        <v>141</v>
      </c>
      <c r="D19" s="2" t="s">
        <v>16</v>
      </c>
      <c r="E19" s="2" t="s">
        <v>21</v>
      </c>
      <c r="F19" s="2" t="s">
        <v>22</v>
      </c>
      <c r="G19" s="2" t="s">
        <v>39</v>
      </c>
      <c r="H19" s="2" t="s">
        <v>14</v>
      </c>
      <c r="I19" s="2">
        <v>48.2</v>
      </c>
      <c r="J19" s="2">
        <v>2</v>
      </c>
      <c r="K19" s="2"/>
      <c r="L19" s="2"/>
      <c r="M19" s="2"/>
    </row>
    <row r="20" spans="1:13" x14ac:dyDescent="0.3">
      <c r="A20" s="2" t="s">
        <v>49</v>
      </c>
      <c r="B20" s="3">
        <v>45721</v>
      </c>
      <c r="C20" s="3" t="s">
        <v>140</v>
      </c>
      <c r="D20" s="2" t="s">
        <v>25</v>
      </c>
      <c r="E20" s="2" t="s">
        <v>17</v>
      </c>
      <c r="F20" s="2" t="s">
        <v>22</v>
      </c>
      <c r="G20" s="2" t="s">
        <v>26</v>
      </c>
      <c r="H20" s="2" t="s">
        <v>23</v>
      </c>
      <c r="I20" s="2">
        <v>7.4</v>
      </c>
      <c r="J20" s="2">
        <v>2.9</v>
      </c>
      <c r="K20" s="2"/>
      <c r="L20" s="2"/>
      <c r="M20" s="2"/>
    </row>
    <row r="21" spans="1:13" x14ac:dyDescent="0.3">
      <c r="A21" s="2" t="s">
        <v>50</v>
      </c>
      <c r="B21" s="3">
        <v>45734</v>
      </c>
      <c r="C21" s="3" t="s">
        <v>140</v>
      </c>
      <c r="D21" s="2" t="s">
        <v>16</v>
      </c>
      <c r="E21" s="2" t="s">
        <v>31</v>
      </c>
      <c r="F21" s="2" t="s">
        <v>22</v>
      </c>
      <c r="G21" s="2" t="s">
        <v>39</v>
      </c>
      <c r="H21" s="2" t="s">
        <v>14</v>
      </c>
      <c r="I21" s="2">
        <v>31.7</v>
      </c>
      <c r="J21" s="2">
        <v>3.8</v>
      </c>
      <c r="K21" s="2"/>
      <c r="L21" s="2"/>
      <c r="M21" s="2"/>
    </row>
    <row r="22" spans="1:13" x14ac:dyDescent="0.3">
      <c r="A22" s="2" t="s">
        <v>51</v>
      </c>
      <c r="B22" s="3">
        <v>45661</v>
      </c>
      <c r="C22" s="3" t="s">
        <v>141</v>
      </c>
      <c r="D22" s="2" t="s">
        <v>16</v>
      </c>
      <c r="E22" s="2" t="s">
        <v>17</v>
      </c>
      <c r="F22" s="2" t="s">
        <v>32</v>
      </c>
      <c r="G22" s="2" t="s">
        <v>33</v>
      </c>
      <c r="H22" s="2" t="s">
        <v>23</v>
      </c>
      <c r="I22" s="2">
        <v>62.6</v>
      </c>
      <c r="J22" s="2">
        <v>2.8</v>
      </c>
      <c r="K22" s="2"/>
      <c r="L22" s="2"/>
      <c r="M22" s="2"/>
    </row>
    <row r="23" spans="1:13" x14ac:dyDescent="0.3">
      <c r="A23" s="2" t="s">
        <v>52</v>
      </c>
      <c r="B23" s="3">
        <v>45728</v>
      </c>
      <c r="C23" s="3" t="s">
        <v>140</v>
      </c>
      <c r="D23" s="2" t="s">
        <v>38</v>
      </c>
      <c r="E23" s="2" t="s">
        <v>21</v>
      </c>
      <c r="F23" s="2" t="s">
        <v>32</v>
      </c>
      <c r="G23" s="2" t="s">
        <v>33</v>
      </c>
      <c r="H23" s="2" t="s">
        <v>40</v>
      </c>
      <c r="I23" s="2">
        <v>14.3</v>
      </c>
      <c r="J23" s="2">
        <v>1.1000000000000001</v>
      </c>
      <c r="K23" s="2"/>
      <c r="L23" s="2"/>
      <c r="M23" s="2"/>
    </row>
    <row r="24" spans="1:13" x14ac:dyDescent="0.3">
      <c r="A24" s="2" t="s">
        <v>53</v>
      </c>
      <c r="B24" s="3">
        <v>45683</v>
      </c>
      <c r="C24" s="3" t="s">
        <v>141</v>
      </c>
      <c r="D24" s="2" t="s">
        <v>36</v>
      </c>
      <c r="E24" s="2" t="s">
        <v>21</v>
      </c>
      <c r="F24" s="2" t="s">
        <v>12</v>
      </c>
      <c r="G24" s="2" t="s">
        <v>26</v>
      </c>
      <c r="H24" s="2" t="s">
        <v>19</v>
      </c>
      <c r="I24" s="2">
        <v>19.8</v>
      </c>
      <c r="J24" s="2">
        <v>2.2000000000000002</v>
      </c>
      <c r="K24" s="2"/>
      <c r="L24" s="2"/>
      <c r="M24" s="2"/>
    </row>
    <row r="25" spans="1:13" x14ac:dyDescent="0.3">
      <c r="A25" s="2" t="s">
        <v>54</v>
      </c>
      <c r="B25" s="3">
        <v>45740</v>
      </c>
      <c r="C25" s="3" t="s">
        <v>140</v>
      </c>
      <c r="D25" s="2" t="s">
        <v>36</v>
      </c>
      <c r="E25" s="2" t="s">
        <v>17</v>
      </c>
      <c r="F25" s="2" t="s">
        <v>22</v>
      </c>
      <c r="G25" s="2" t="s">
        <v>39</v>
      </c>
      <c r="H25" s="2" t="s">
        <v>19</v>
      </c>
      <c r="I25" s="2">
        <v>24.6</v>
      </c>
      <c r="J25" s="2">
        <v>2.6</v>
      </c>
      <c r="K25" s="2"/>
      <c r="L25" s="2"/>
      <c r="M25" s="2"/>
    </row>
    <row r="26" spans="1:13" x14ac:dyDescent="0.3">
      <c r="A26" s="2" t="s">
        <v>55</v>
      </c>
      <c r="B26" s="3">
        <v>45746</v>
      </c>
      <c r="C26" s="3" t="s">
        <v>140</v>
      </c>
      <c r="D26" s="2" t="s">
        <v>25</v>
      </c>
      <c r="E26" s="2" t="s">
        <v>17</v>
      </c>
      <c r="F26" s="2" t="s">
        <v>22</v>
      </c>
      <c r="G26" s="2" t="s">
        <v>13</v>
      </c>
      <c r="H26" s="2" t="s">
        <v>40</v>
      </c>
      <c r="I26" s="2">
        <v>33.6</v>
      </c>
      <c r="J26" s="2">
        <v>2</v>
      </c>
      <c r="K26" s="2"/>
      <c r="L26" s="2"/>
      <c r="M26" s="2"/>
    </row>
    <row r="27" spans="1:13" x14ac:dyDescent="0.3">
      <c r="A27" s="2" t="s">
        <v>56</v>
      </c>
      <c r="B27" s="3">
        <v>45726</v>
      </c>
      <c r="C27" s="3" t="s">
        <v>140</v>
      </c>
      <c r="D27" s="2" t="s">
        <v>38</v>
      </c>
      <c r="E27" s="2" t="s">
        <v>17</v>
      </c>
      <c r="F27" s="2" t="s">
        <v>32</v>
      </c>
      <c r="G27" s="2" t="s">
        <v>18</v>
      </c>
      <c r="H27" s="2" t="s">
        <v>23</v>
      </c>
      <c r="I27" s="2">
        <v>25.3</v>
      </c>
      <c r="J27" s="2">
        <v>3.7</v>
      </c>
      <c r="K27" s="2"/>
      <c r="L27" s="2"/>
      <c r="M27" s="2"/>
    </row>
    <row r="28" spans="1:13" x14ac:dyDescent="0.3">
      <c r="A28" s="2" t="s">
        <v>57</v>
      </c>
      <c r="B28" s="3">
        <v>45711</v>
      </c>
      <c r="C28" s="3" t="s">
        <v>142</v>
      </c>
      <c r="D28" s="2" t="s">
        <v>36</v>
      </c>
      <c r="E28" s="2" t="s">
        <v>21</v>
      </c>
      <c r="F28" s="2" t="s">
        <v>12</v>
      </c>
      <c r="G28" s="2" t="s">
        <v>13</v>
      </c>
      <c r="H28" s="2" t="s">
        <v>19</v>
      </c>
      <c r="I28" s="2">
        <v>63.5</v>
      </c>
      <c r="J28" s="2">
        <v>2.5</v>
      </c>
      <c r="K28" s="2"/>
      <c r="L28" s="2"/>
      <c r="M28" s="2"/>
    </row>
    <row r="29" spans="1:13" x14ac:dyDescent="0.3">
      <c r="A29" s="2" t="s">
        <v>58</v>
      </c>
      <c r="B29" s="3">
        <v>45686</v>
      </c>
      <c r="C29" s="3" t="s">
        <v>141</v>
      </c>
      <c r="D29" s="2" t="s">
        <v>28</v>
      </c>
      <c r="E29" s="2" t="s">
        <v>17</v>
      </c>
      <c r="F29" s="2" t="s">
        <v>32</v>
      </c>
      <c r="G29" s="2" t="s">
        <v>33</v>
      </c>
      <c r="H29" s="2" t="s">
        <v>23</v>
      </c>
      <c r="I29" s="2">
        <v>21.1</v>
      </c>
      <c r="J29" s="2">
        <v>3.2</v>
      </c>
      <c r="K29" s="2"/>
      <c r="L29" s="2"/>
      <c r="M29" s="2"/>
    </row>
    <row r="30" spans="1:13" x14ac:dyDescent="0.3">
      <c r="A30" s="2" t="s">
        <v>59</v>
      </c>
      <c r="B30" s="3">
        <v>45715</v>
      </c>
      <c r="C30" s="3" t="s">
        <v>142</v>
      </c>
      <c r="D30" s="2" t="s">
        <v>36</v>
      </c>
      <c r="E30" s="2" t="s">
        <v>17</v>
      </c>
      <c r="F30" s="2" t="s">
        <v>32</v>
      </c>
      <c r="G30" s="2" t="s">
        <v>33</v>
      </c>
      <c r="H30" s="2" t="s">
        <v>23</v>
      </c>
      <c r="I30" s="2">
        <v>68.599999999999994</v>
      </c>
      <c r="J30" s="2">
        <v>2.4</v>
      </c>
      <c r="K30" s="2"/>
      <c r="L30" s="2"/>
      <c r="M30" s="2"/>
    </row>
    <row r="31" spans="1:13" x14ac:dyDescent="0.3">
      <c r="A31" s="2" t="s">
        <v>60</v>
      </c>
      <c r="B31" s="3">
        <v>45732</v>
      </c>
      <c r="C31" s="3" t="s">
        <v>140</v>
      </c>
      <c r="D31" s="2" t="s">
        <v>28</v>
      </c>
      <c r="E31" s="2" t="s">
        <v>31</v>
      </c>
      <c r="F31" s="2" t="s">
        <v>12</v>
      </c>
      <c r="G31" s="2" t="s">
        <v>33</v>
      </c>
      <c r="H31" s="2" t="s">
        <v>23</v>
      </c>
      <c r="I31" s="2">
        <v>31.2</v>
      </c>
      <c r="J31" s="2">
        <v>5</v>
      </c>
      <c r="K31" s="2"/>
      <c r="L31" s="2"/>
      <c r="M31" s="2"/>
    </row>
    <row r="32" spans="1:13" x14ac:dyDescent="0.3">
      <c r="A32" s="2" t="s">
        <v>61</v>
      </c>
      <c r="B32" s="3">
        <v>45693</v>
      </c>
      <c r="C32" s="3" t="s">
        <v>142</v>
      </c>
      <c r="D32" s="2" t="s">
        <v>25</v>
      </c>
      <c r="E32" s="2" t="s">
        <v>17</v>
      </c>
      <c r="F32" s="2" t="s">
        <v>22</v>
      </c>
      <c r="G32" s="2" t="s">
        <v>33</v>
      </c>
      <c r="H32" s="2" t="s">
        <v>40</v>
      </c>
      <c r="I32" s="2">
        <v>60.4</v>
      </c>
      <c r="J32" s="2">
        <v>3.2</v>
      </c>
      <c r="K32" s="2"/>
      <c r="L32" s="2"/>
      <c r="M32" s="2"/>
    </row>
    <row r="33" spans="1:13" x14ac:dyDescent="0.3">
      <c r="A33" s="2" t="s">
        <v>62</v>
      </c>
      <c r="B33" s="3">
        <v>45658</v>
      </c>
      <c r="C33" s="3" t="s">
        <v>141</v>
      </c>
      <c r="D33" s="2" t="s">
        <v>16</v>
      </c>
      <c r="E33" s="2" t="s">
        <v>21</v>
      </c>
      <c r="F33" s="2" t="s">
        <v>22</v>
      </c>
      <c r="G33" s="2" t="s">
        <v>18</v>
      </c>
      <c r="H33" s="2" t="s">
        <v>40</v>
      </c>
      <c r="I33" s="2">
        <v>34.700000000000003</v>
      </c>
      <c r="J33" s="2">
        <v>2.4</v>
      </c>
      <c r="K33" s="2"/>
      <c r="L33" s="2"/>
      <c r="M33" s="2"/>
    </row>
    <row r="34" spans="1:13" x14ac:dyDescent="0.3">
      <c r="A34" s="2" t="s">
        <v>63</v>
      </c>
      <c r="B34" s="3">
        <v>45678</v>
      </c>
      <c r="C34" s="3" t="s">
        <v>141</v>
      </c>
      <c r="D34" s="2" t="s">
        <v>16</v>
      </c>
      <c r="E34" s="2" t="s">
        <v>31</v>
      </c>
      <c r="F34" s="2" t="s">
        <v>32</v>
      </c>
      <c r="G34" s="2" t="s">
        <v>26</v>
      </c>
      <c r="H34" s="2" t="s">
        <v>23</v>
      </c>
      <c r="I34" s="2">
        <v>54.3</v>
      </c>
      <c r="J34" s="2">
        <v>2.8</v>
      </c>
      <c r="K34" s="2"/>
      <c r="L34" s="2"/>
      <c r="M34" s="2"/>
    </row>
    <row r="35" spans="1:13" x14ac:dyDescent="0.3">
      <c r="A35" s="2" t="s">
        <v>64</v>
      </c>
      <c r="B35" s="3">
        <v>45746</v>
      </c>
      <c r="C35" s="3" t="s">
        <v>140</v>
      </c>
      <c r="D35" s="2" t="s">
        <v>36</v>
      </c>
      <c r="E35" s="2" t="s">
        <v>11</v>
      </c>
      <c r="F35" s="2" t="s">
        <v>32</v>
      </c>
      <c r="G35" s="2" t="s">
        <v>33</v>
      </c>
      <c r="H35" s="2" t="s">
        <v>14</v>
      </c>
      <c r="I35" s="2">
        <v>5.2</v>
      </c>
      <c r="J35" s="2">
        <v>2.2000000000000002</v>
      </c>
      <c r="K35" s="2"/>
      <c r="L35" s="2"/>
      <c r="M35" s="2"/>
    </row>
    <row r="36" spans="1:13" x14ac:dyDescent="0.3">
      <c r="A36" s="2" t="s">
        <v>65</v>
      </c>
      <c r="B36" s="3">
        <v>45712</v>
      </c>
      <c r="C36" s="3" t="s">
        <v>142</v>
      </c>
      <c r="D36" s="2" t="s">
        <v>28</v>
      </c>
      <c r="E36" s="2" t="s">
        <v>21</v>
      </c>
      <c r="F36" s="2" t="s">
        <v>32</v>
      </c>
      <c r="G36" s="2" t="s">
        <v>39</v>
      </c>
      <c r="H36" s="2" t="s">
        <v>40</v>
      </c>
      <c r="I36" s="2">
        <v>68.599999999999994</v>
      </c>
      <c r="J36" s="2">
        <v>1.9</v>
      </c>
      <c r="K36" s="2"/>
      <c r="L36" s="2"/>
      <c r="M36" s="2"/>
    </row>
    <row r="37" spans="1:13" x14ac:dyDescent="0.3">
      <c r="A37" s="2" t="s">
        <v>66</v>
      </c>
      <c r="B37" s="3">
        <v>45701</v>
      </c>
      <c r="C37" s="3" t="s">
        <v>142</v>
      </c>
      <c r="D37" s="2" t="s">
        <v>10</v>
      </c>
      <c r="E37" s="2" t="s">
        <v>21</v>
      </c>
      <c r="F37" s="2" t="s">
        <v>12</v>
      </c>
      <c r="G37" s="2" t="s">
        <v>18</v>
      </c>
      <c r="H37" s="2" t="s">
        <v>14</v>
      </c>
      <c r="I37" s="2">
        <v>17.3</v>
      </c>
      <c r="J37" s="2">
        <v>3.9</v>
      </c>
      <c r="K37" s="2"/>
      <c r="L37" s="2"/>
      <c r="M37" s="2"/>
    </row>
    <row r="38" spans="1:13" x14ac:dyDescent="0.3">
      <c r="A38" s="2" t="s">
        <v>67</v>
      </c>
      <c r="B38" s="3">
        <v>45693</v>
      </c>
      <c r="C38" s="3" t="s">
        <v>142</v>
      </c>
      <c r="D38" s="2" t="s">
        <v>10</v>
      </c>
      <c r="E38" s="2" t="s">
        <v>11</v>
      </c>
      <c r="F38" s="2" t="s">
        <v>12</v>
      </c>
      <c r="G38" s="2" t="s">
        <v>33</v>
      </c>
      <c r="H38" s="2" t="s">
        <v>14</v>
      </c>
      <c r="I38" s="2">
        <v>6.3</v>
      </c>
      <c r="J38" s="2">
        <v>2.2999999999999998</v>
      </c>
      <c r="K38" s="2"/>
      <c r="L38" s="2"/>
      <c r="M38" s="2"/>
    </row>
    <row r="39" spans="1:13" x14ac:dyDescent="0.3">
      <c r="A39" s="2" t="s">
        <v>68</v>
      </c>
      <c r="B39" s="3">
        <v>45677</v>
      </c>
      <c r="C39" s="3" t="s">
        <v>141</v>
      </c>
      <c r="D39" s="2" t="s">
        <v>10</v>
      </c>
      <c r="E39" s="2" t="s">
        <v>21</v>
      </c>
      <c r="F39" s="2" t="s">
        <v>32</v>
      </c>
      <c r="G39" s="2" t="s">
        <v>39</v>
      </c>
      <c r="H39" s="2" t="s">
        <v>23</v>
      </c>
      <c r="I39" s="2">
        <v>69</v>
      </c>
      <c r="J39" s="2">
        <v>4</v>
      </c>
      <c r="K39" s="2"/>
      <c r="L39" s="2"/>
      <c r="M39" s="2"/>
    </row>
    <row r="40" spans="1:13" x14ac:dyDescent="0.3">
      <c r="A40" s="2" t="s">
        <v>69</v>
      </c>
      <c r="B40" s="3">
        <v>45685</v>
      </c>
      <c r="C40" s="3" t="s">
        <v>141</v>
      </c>
      <c r="D40" s="2" t="s">
        <v>16</v>
      </c>
      <c r="E40" s="2" t="s">
        <v>11</v>
      </c>
      <c r="F40" s="2" t="s">
        <v>22</v>
      </c>
      <c r="G40" s="2" t="s">
        <v>33</v>
      </c>
      <c r="H40" s="2" t="s">
        <v>14</v>
      </c>
      <c r="I40" s="2">
        <v>4.3</v>
      </c>
      <c r="J40" s="2">
        <v>4.8</v>
      </c>
      <c r="K40" s="2"/>
      <c r="L40" s="2"/>
      <c r="M40" s="2"/>
    </row>
    <row r="41" spans="1:13" x14ac:dyDescent="0.3">
      <c r="A41" s="2" t="s">
        <v>70</v>
      </c>
      <c r="B41" s="3">
        <v>45701</v>
      </c>
      <c r="C41" s="3" t="s">
        <v>142</v>
      </c>
      <c r="D41" s="2" t="s">
        <v>38</v>
      </c>
      <c r="E41" s="2" t="s">
        <v>11</v>
      </c>
      <c r="F41" s="2" t="s">
        <v>22</v>
      </c>
      <c r="G41" s="2" t="s">
        <v>26</v>
      </c>
      <c r="H41" s="2" t="s">
        <v>14</v>
      </c>
      <c r="I41" s="2">
        <v>3.7</v>
      </c>
      <c r="J41" s="2">
        <v>3.8</v>
      </c>
      <c r="K41" s="2"/>
      <c r="L41" s="2"/>
      <c r="M41" s="2"/>
    </row>
    <row r="42" spans="1:13" x14ac:dyDescent="0.3">
      <c r="A42" s="2" t="s">
        <v>71</v>
      </c>
      <c r="B42" s="3">
        <v>45671</v>
      </c>
      <c r="C42" s="3" t="s">
        <v>141</v>
      </c>
      <c r="D42" s="2" t="s">
        <v>16</v>
      </c>
      <c r="E42" s="2" t="s">
        <v>21</v>
      </c>
      <c r="F42" s="2" t="s">
        <v>12</v>
      </c>
      <c r="G42" s="2" t="s">
        <v>18</v>
      </c>
      <c r="H42" s="2" t="s">
        <v>14</v>
      </c>
      <c r="I42" s="2">
        <v>18.899999999999999</v>
      </c>
      <c r="J42" s="2">
        <v>1.8</v>
      </c>
      <c r="K42" s="2"/>
      <c r="L42" s="2"/>
      <c r="M42" s="2"/>
    </row>
    <row r="43" spans="1:13" x14ac:dyDescent="0.3">
      <c r="A43" s="2" t="s">
        <v>72</v>
      </c>
      <c r="B43" s="3">
        <v>45669</v>
      </c>
      <c r="C43" s="3" t="s">
        <v>141</v>
      </c>
      <c r="D43" s="2" t="s">
        <v>38</v>
      </c>
      <c r="E43" s="2" t="s">
        <v>17</v>
      </c>
      <c r="F43" s="2" t="s">
        <v>12</v>
      </c>
      <c r="G43" s="2" t="s">
        <v>26</v>
      </c>
      <c r="H43" s="2" t="s">
        <v>23</v>
      </c>
      <c r="I43" s="2">
        <v>60.7</v>
      </c>
      <c r="J43" s="2">
        <v>4</v>
      </c>
      <c r="K43" s="2"/>
      <c r="L43" s="2"/>
      <c r="M43" s="2"/>
    </row>
    <row r="44" spans="1:13" x14ac:dyDescent="0.3">
      <c r="A44" s="2" t="s">
        <v>73</v>
      </c>
      <c r="B44" s="3">
        <v>45706</v>
      </c>
      <c r="C44" s="3" t="s">
        <v>142</v>
      </c>
      <c r="D44" s="2" t="s">
        <v>28</v>
      </c>
      <c r="E44" s="2" t="s">
        <v>17</v>
      </c>
      <c r="F44" s="2" t="s">
        <v>22</v>
      </c>
      <c r="G44" s="2" t="s">
        <v>18</v>
      </c>
      <c r="H44" s="2" t="s">
        <v>23</v>
      </c>
      <c r="I44" s="2">
        <v>45.3</v>
      </c>
      <c r="J44" s="2">
        <v>2.1</v>
      </c>
      <c r="K44" s="2"/>
      <c r="L44" s="2"/>
      <c r="M44" s="2"/>
    </row>
    <row r="45" spans="1:13" x14ac:dyDescent="0.3">
      <c r="A45" s="2" t="s">
        <v>74</v>
      </c>
      <c r="B45" s="3">
        <v>45670</v>
      </c>
      <c r="C45" s="3" t="s">
        <v>141</v>
      </c>
      <c r="D45" s="2" t="s">
        <v>36</v>
      </c>
      <c r="E45" s="2" t="s">
        <v>11</v>
      </c>
      <c r="F45" s="2" t="s">
        <v>12</v>
      </c>
      <c r="G45" s="2" t="s">
        <v>33</v>
      </c>
      <c r="H45" s="2" t="s">
        <v>40</v>
      </c>
      <c r="I45" s="2">
        <v>18.3</v>
      </c>
      <c r="J45" s="2">
        <v>3.4</v>
      </c>
      <c r="K45" s="2"/>
      <c r="L45" s="2"/>
      <c r="M45" s="2"/>
    </row>
    <row r="46" spans="1:13" x14ac:dyDescent="0.3">
      <c r="A46" s="2" t="s">
        <v>75</v>
      </c>
      <c r="B46" s="3">
        <v>45703</v>
      </c>
      <c r="C46" s="3" t="s">
        <v>142</v>
      </c>
      <c r="D46" s="2" t="s">
        <v>10</v>
      </c>
      <c r="E46" s="2" t="s">
        <v>31</v>
      </c>
      <c r="F46" s="2" t="s">
        <v>22</v>
      </c>
      <c r="G46" s="2" t="s">
        <v>33</v>
      </c>
      <c r="H46" s="2" t="s">
        <v>40</v>
      </c>
      <c r="I46" s="2">
        <v>34.9</v>
      </c>
      <c r="J46" s="2">
        <v>4</v>
      </c>
      <c r="K46" s="2"/>
      <c r="L46" s="2"/>
      <c r="M46" s="2"/>
    </row>
    <row r="47" spans="1:13" x14ac:dyDescent="0.3">
      <c r="A47" s="2" t="s">
        <v>76</v>
      </c>
      <c r="B47" s="3">
        <v>45702</v>
      </c>
      <c r="C47" s="3" t="s">
        <v>142</v>
      </c>
      <c r="D47" s="2" t="s">
        <v>28</v>
      </c>
      <c r="E47" s="2" t="s">
        <v>11</v>
      </c>
      <c r="F47" s="2" t="s">
        <v>32</v>
      </c>
      <c r="G47" s="2" t="s">
        <v>18</v>
      </c>
      <c r="H47" s="2" t="s">
        <v>14</v>
      </c>
      <c r="I47" s="2">
        <v>9.6</v>
      </c>
      <c r="J47" s="2">
        <v>3.4</v>
      </c>
      <c r="K47" s="2"/>
      <c r="L47" s="2"/>
      <c r="M47" s="2"/>
    </row>
    <row r="48" spans="1:13" x14ac:dyDescent="0.3">
      <c r="A48" s="2" t="s">
        <v>77</v>
      </c>
      <c r="B48" s="3">
        <v>45734</v>
      </c>
      <c r="C48" s="3" t="s">
        <v>140</v>
      </c>
      <c r="D48" s="2" t="s">
        <v>28</v>
      </c>
      <c r="E48" s="2" t="s">
        <v>11</v>
      </c>
      <c r="F48" s="2" t="s">
        <v>12</v>
      </c>
      <c r="G48" s="2" t="s">
        <v>39</v>
      </c>
      <c r="H48" s="2" t="s">
        <v>23</v>
      </c>
      <c r="I48" s="2">
        <v>68.3</v>
      </c>
      <c r="J48" s="2">
        <v>4.9000000000000004</v>
      </c>
      <c r="K48" s="2"/>
      <c r="L48" s="2"/>
      <c r="M48" s="2"/>
    </row>
    <row r="49" spans="1:13" x14ac:dyDescent="0.3">
      <c r="A49" s="2" t="s">
        <v>78</v>
      </c>
      <c r="B49" s="3">
        <v>45691</v>
      </c>
      <c r="C49" s="3" t="s">
        <v>142</v>
      </c>
      <c r="D49" s="2" t="s">
        <v>36</v>
      </c>
      <c r="E49" s="2" t="s">
        <v>11</v>
      </c>
      <c r="F49" s="2" t="s">
        <v>32</v>
      </c>
      <c r="G49" s="2" t="s">
        <v>39</v>
      </c>
      <c r="H49" s="2" t="s">
        <v>23</v>
      </c>
      <c r="I49" s="2">
        <v>34.299999999999997</v>
      </c>
      <c r="J49" s="2">
        <v>4.3</v>
      </c>
      <c r="K49" s="2"/>
      <c r="L49" s="2"/>
      <c r="M49" s="2"/>
    </row>
    <row r="50" spans="1:13" x14ac:dyDescent="0.3">
      <c r="A50" s="2" t="s">
        <v>79</v>
      </c>
      <c r="B50" s="3">
        <v>45663</v>
      </c>
      <c r="C50" s="3" t="s">
        <v>141</v>
      </c>
      <c r="D50" s="2" t="s">
        <v>28</v>
      </c>
      <c r="E50" s="2" t="s">
        <v>17</v>
      </c>
      <c r="F50" s="2" t="s">
        <v>12</v>
      </c>
      <c r="G50" s="2" t="s">
        <v>33</v>
      </c>
      <c r="H50" s="2" t="s">
        <v>14</v>
      </c>
      <c r="I50" s="2">
        <v>19.600000000000001</v>
      </c>
      <c r="J50" s="2">
        <v>2.2000000000000002</v>
      </c>
      <c r="K50" s="2"/>
      <c r="L50" s="2"/>
      <c r="M50" s="2"/>
    </row>
    <row r="51" spans="1:13" x14ac:dyDescent="0.3">
      <c r="A51" s="2" t="s">
        <v>80</v>
      </c>
      <c r="B51" s="3">
        <v>45716</v>
      </c>
      <c r="C51" s="3" t="s">
        <v>142</v>
      </c>
      <c r="D51" s="2" t="s">
        <v>36</v>
      </c>
      <c r="E51" s="2" t="s">
        <v>17</v>
      </c>
      <c r="F51" s="2" t="s">
        <v>12</v>
      </c>
      <c r="G51" s="2" t="s">
        <v>33</v>
      </c>
      <c r="H51" s="2" t="s">
        <v>40</v>
      </c>
      <c r="I51" s="2">
        <v>27.5</v>
      </c>
      <c r="J51" s="2">
        <v>2.4</v>
      </c>
      <c r="K51" s="2"/>
      <c r="L51" s="2"/>
      <c r="M51" s="2"/>
    </row>
    <row r="52" spans="1:13" x14ac:dyDescent="0.3">
      <c r="A52" s="2" t="s">
        <v>81</v>
      </c>
      <c r="B52" s="3">
        <v>45725</v>
      </c>
      <c r="C52" s="3" t="s">
        <v>140</v>
      </c>
      <c r="D52" s="2" t="s">
        <v>25</v>
      </c>
      <c r="E52" s="2" t="s">
        <v>17</v>
      </c>
      <c r="F52" s="2" t="s">
        <v>32</v>
      </c>
      <c r="G52" s="2" t="s">
        <v>26</v>
      </c>
      <c r="H52" s="2" t="s">
        <v>23</v>
      </c>
      <c r="I52" s="2">
        <v>44.2</v>
      </c>
      <c r="J52" s="2">
        <v>2.2000000000000002</v>
      </c>
      <c r="K52" s="2"/>
      <c r="L52" s="2"/>
      <c r="M52" s="2"/>
    </row>
    <row r="53" spans="1:13" x14ac:dyDescent="0.3">
      <c r="A53" s="2" t="s">
        <v>82</v>
      </c>
      <c r="B53" s="3">
        <v>45673</v>
      </c>
      <c r="C53" s="3" t="s">
        <v>141</v>
      </c>
      <c r="D53" s="2" t="s">
        <v>36</v>
      </c>
      <c r="E53" s="2" t="s">
        <v>11</v>
      </c>
      <c r="F53" s="2" t="s">
        <v>32</v>
      </c>
      <c r="G53" s="2" t="s">
        <v>33</v>
      </c>
      <c r="H53" s="2" t="s">
        <v>40</v>
      </c>
      <c r="I53" s="2">
        <v>69.400000000000006</v>
      </c>
      <c r="J53" s="2">
        <v>3.8</v>
      </c>
      <c r="K53" s="2"/>
      <c r="L53" s="2"/>
      <c r="M53" s="2"/>
    </row>
    <row r="54" spans="1:13" x14ac:dyDescent="0.3">
      <c r="A54" s="2" t="s">
        <v>83</v>
      </c>
      <c r="B54" s="3">
        <v>45706</v>
      </c>
      <c r="C54" s="3" t="s">
        <v>142</v>
      </c>
      <c r="D54" s="2" t="s">
        <v>10</v>
      </c>
      <c r="E54" s="2" t="s">
        <v>31</v>
      </c>
      <c r="F54" s="2" t="s">
        <v>12</v>
      </c>
      <c r="G54" s="2" t="s">
        <v>18</v>
      </c>
      <c r="H54" s="2" t="s">
        <v>14</v>
      </c>
      <c r="I54" s="2">
        <v>52.1</v>
      </c>
      <c r="J54" s="2">
        <v>1.5</v>
      </c>
      <c r="K54" s="2"/>
      <c r="L54" s="2"/>
      <c r="M54" s="2"/>
    </row>
    <row r="55" spans="1:13" x14ac:dyDescent="0.3">
      <c r="A55" s="2" t="s">
        <v>84</v>
      </c>
      <c r="B55" s="3">
        <v>45668</v>
      </c>
      <c r="C55" s="3" t="s">
        <v>141</v>
      </c>
      <c r="D55" s="2" t="s">
        <v>38</v>
      </c>
      <c r="E55" s="2" t="s">
        <v>17</v>
      </c>
      <c r="F55" s="2" t="s">
        <v>32</v>
      </c>
      <c r="G55" s="2" t="s">
        <v>39</v>
      </c>
      <c r="H55" s="2" t="s">
        <v>23</v>
      </c>
      <c r="I55" s="2">
        <v>56.3</v>
      </c>
      <c r="J55" s="2">
        <v>1.2</v>
      </c>
      <c r="K55" s="2"/>
      <c r="L55" s="2"/>
      <c r="M55" s="2"/>
    </row>
    <row r="56" spans="1:13" x14ac:dyDescent="0.3">
      <c r="A56" s="2" t="s">
        <v>85</v>
      </c>
      <c r="B56" s="3">
        <v>45727</v>
      </c>
      <c r="C56" s="3" t="s">
        <v>140</v>
      </c>
      <c r="D56" s="2" t="s">
        <v>38</v>
      </c>
      <c r="E56" s="2" t="s">
        <v>21</v>
      </c>
      <c r="F56" s="2" t="s">
        <v>22</v>
      </c>
      <c r="G56" s="2" t="s">
        <v>39</v>
      </c>
      <c r="H56" s="2" t="s">
        <v>14</v>
      </c>
      <c r="I56" s="2">
        <v>13</v>
      </c>
      <c r="J56" s="2">
        <v>1.2</v>
      </c>
      <c r="K56" s="2"/>
      <c r="L56" s="2"/>
      <c r="M56" s="2"/>
    </row>
    <row r="57" spans="1:13" x14ac:dyDescent="0.3">
      <c r="A57" s="2" t="s">
        <v>86</v>
      </c>
      <c r="B57" s="3">
        <v>45695</v>
      </c>
      <c r="C57" s="3" t="s">
        <v>142</v>
      </c>
      <c r="D57" s="2" t="s">
        <v>10</v>
      </c>
      <c r="E57" s="2" t="s">
        <v>21</v>
      </c>
      <c r="F57" s="2" t="s">
        <v>22</v>
      </c>
      <c r="G57" s="2" t="s">
        <v>26</v>
      </c>
      <c r="H57" s="2" t="s">
        <v>19</v>
      </c>
      <c r="I57" s="2">
        <v>23.4</v>
      </c>
      <c r="J57" s="2">
        <v>2.2000000000000002</v>
      </c>
      <c r="K57" s="2"/>
      <c r="L57" s="2"/>
      <c r="M57" s="2"/>
    </row>
    <row r="58" spans="1:13" x14ac:dyDescent="0.3">
      <c r="A58" s="2" t="s">
        <v>87</v>
      </c>
      <c r="B58" s="3">
        <v>45737</v>
      </c>
      <c r="C58" s="3" t="s">
        <v>140</v>
      </c>
      <c r="D58" s="2" t="s">
        <v>38</v>
      </c>
      <c r="E58" s="2" t="s">
        <v>21</v>
      </c>
      <c r="F58" s="2" t="s">
        <v>32</v>
      </c>
      <c r="G58" s="2" t="s">
        <v>39</v>
      </c>
      <c r="H58" s="2" t="s">
        <v>14</v>
      </c>
      <c r="I58" s="2">
        <v>42.3</v>
      </c>
      <c r="J58" s="2">
        <v>4.8</v>
      </c>
      <c r="K58" s="2"/>
      <c r="L58" s="2"/>
      <c r="M58" s="2"/>
    </row>
    <row r="59" spans="1:13" x14ac:dyDescent="0.3">
      <c r="A59" s="2" t="s">
        <v>88</v>
      </c>
      <c r="B59" s="3">
        <v>45736</v>
      </c>
      <c r="C59" s="3" t="s">
        <v>140</v>
      </c>
      <c r="D59" s="2" t="s">
        <v>36</v>
      </c>
      <c r="E59" s="2" t="s">
        <v>11</v>
      </c>
      <c r="F59" s="2" t="s">
        <v>22</v>
      </c>
      <c r="G59" s="2" t="s">
        <v>39</v>
      </c>
      <c r="H59" s="2" t="s">
        <v>14</v>
      </c>
      <c r="I59" s="2">
        <v>67</v>
      </c>
      <c r="J59" s="2">
        <v>3.6</v>
      </c>
      <c r="K59" s="2"/>
      <c r="L59" s="2"/>
      <c r="M59" s="2"/>
    </row>
    <row r="60" spans="1:13" x14ac:dyDescent="0.3">
      <c r="A60" s="2" t="s">
        <v>89</v>
      </c>
      <c r="B60" s="3">
        <v>45704</v>
      </c>
      <c r="C60" s="3" t="s">
        <v>142</v>
      </c>
      <c r="D60" s="2" t="s">
        <v>25</v>
      </c>
      <c r="E60" s="2" t="s">
        <v>21</v>
      </c>
      <c r="F60" s="2" t="s">
        <v>22</v>
      </c>
      <c r="G60" s="2" t="s">
        <v>13</v>
      </c>
      <c r="H60" s="2" t="s">
        <v>14</v>
      </c>
      <c r="I60" s="2">
        <v>42.1</v>
      </c>
      <c r="J60" s="2">
        <v>4</v>
      </c>
      <c r="K60" s="2"/>
      <c r="L60" s="2"/>
      <c r="M60" s="2"/>
    </row>
    <row r="61" spans="1:13" x14ac:dyDescent="0.3">
      <c r="A61" s="2" t="s">
        <v>90</v>
      </c>
      <c r="B61" s="3">
        <v>45730</v>
      </c>
      <c r="C61" s="3" t="s">
        <v>140</v>
      </c>
      <c r="D61" s="2" t="s">
        <v>38</v>
      </c>
      <c r="E61" s="2" t="s">
        <v>11</v>
      </c>
      <c r="F61" s="2" t="s">
        <v>22</v>
      </c>
      <c r="G61" s="2" t="s">
        <v>18</v>
      </c>
      <c r="H61" s="2" t="s">
        <v>23</v>
      </c>
      <c r="I61" s="2">
        <v>65.5</v>
      </c>
      <c r="J61" s="2">
        <v>1.4</v>
      </c>
      <c r="K61" s="2"/>
      <c r="L61" s="2"/>
      <c r="M61" s="2"/>
    </row>
    <row r="62" spans="1:13" x14ac:dyDescent="0.3">
      <c r="A62" s="2" t="s">
        <v>91</v>
      </c>
      <c r="B62" s="3">
        <v>45682</v>
      </c>
      <c r="C62" s="3" t="s">
        <v>141</v>
      </c>
      <c r="D62" s="2" t="s">
        <v>25</v>
      </c>
      <c r="E62" s="2" t="s">
        <v>21</v>
      </c>
      <c r="F62" s="2" t="s">
        <v>12</v>
      </c>
      <c r="G62" s="2" t="s">
        <v>13</v>
      </c>
      <c r="H62" s="2" t="s">
        <v>14</v>
      </c>
      <c r="I62" s="2">
        <v>28</v>
      </c>
      <c r="J62" s="2">
        <v>1</v>
      </c>
      <c r="K62" s="2"/>
      <c r="L62" s="2"/>
      <c r="M62" s="2"/>
    </row>
    <row r="63" spans="1:13" x14ac:dyDescent="0.3">
      <c r="A63" s="2" t="s">
        <v>92</v>
      </c>
      <c r="B63" s="3">
        <v>45747</v>
      </c>
      <c r="C63" s="3" t="s">
        <v>140</v>
      </c>
      <c r="D63" s="2" t="s">
        <v>10</v>
      </c>
      <c r="E63" s="2" t="s">
        <v>31</v>
      </c>
      <c r="F63" s="2" t="s">
        <v>22</v>
      </c>
      <c r="G63" s="2" t="s">
        <v>39</v>
      </c>
      <c r="H63" s="2" t="s">
        <v>14</v>
      </c>
      <c r="I63" s="2">
        <v>67.900000000000006</v>
      </c>
      <c r="J63" s="2">
        <v>2.1</v>
      </c>
      <c r="K63" s="2"/>
      <c r="L63" s="2"/>
      <c r="M63" s="2"/>
    </row>
    <row r="64" spans="1:13" x14ac:dyDescent="0.3">
      <c r="A64" s="2" t="s">
        <v>93</v>
      </c>
      <c r="B64" s="3">
        <v>45666</v>
      </c>
      <c r="C64" s="3" t="s">
        <v>141</v>
      </c>
      <c r="D64" s="2" t="s">
        <v>25</v>
      </c>
      <c r="E64" s="2" t="s">
        <v>11</v>
      </c>
      <c r="F64" s="2" t="s">
        <v>22</v>
      </c>
      <c r="G64" s="2" t="s">
        <v>26</v>
      </c>
      <c r="H64" s="2" t="s">
        <v>19</v>
      </c>
      <c r="I64" s="2">
        <v>15.5</v>
      </c>
      <c r="J64" s="2">
        <v>2.9</v>
      </c>
      <c r="K64" s="2"/>
      <c r="L64" s="2"/>
      <c r="M64" s="2"/>
    </row>
    <row r="65" spans="1:13" x14ac:dyDescent="0.3">
      <c r="A65" s="2" t="s">
        <v>94</v>
      </c>
      <c r="B65" s="3">
        <v>45663</v>
      </c>
      <c r="C65" s="3" t="s">
        <v>141</v>
      </c>
      <c r="D65" s="2" t="s">
        <v>28</v>
      </c>
      <c r="E65" s="2" t="s">
        <v>21</v>
      </c>
      <c r="F65" s="2" t="s">
        <v>32</v>
      </c>
      <c r="G65" s="2" t="s">
        <v>26</v>
      </c>
      <c r="H65" s="2" t="s">
        <v>23</v>
      </c>
      <c r="I65" s="2">
        <v>43.2</v>
      </c>
      <c r="J65" s="2">
        <v>2.4</v>
      </c>
      <c r="K65" s="2"/>
      <c r="L65" s="2"/>
      <c r="M65" s="2"/>
    </row>
    <row r="66" spans="1:13" x14ac:dyDescent="0.3">
      <c r="A66" s="2" t="s">
        <v>95</v>
      </c>
      <c r="B66" s="3">
        <v>45741</v>
      </c>
      <c r="C66" s="3" t="s">
        <v>140</v>
      </c>
      <c r="D66" s="2" t="s">
        <v>16</v>
      </c>
      <c r="E66" s="2" t="s">
        <v>17</v>
      </c>
      <c r="F66" s="2" t="s">
        <v>22</v>
      </c>
      <c r="G66" s="2" t="s">
        <v>39</v>
      </c>
      <c r="H66" s="2" t="s">
        <v>19</v>
      </c>
      <c r="I66" s="2">
        <v>60.1</v>
      </c>
      <c r="J66" s="2">
        <v>4.9000000000000004</v>
      </c>
      <c r="K66" s="2"/>
      <c r="L66" s="2"/>
      <c r="M66" s="2"/>
    </row>
    <row r="67" spans="1:13" x14ac:dyDescent="0.3">
      <c r="A67" s="2" t="s">
        <v>96</v>
      </c>
      <c r="B67" s="3">
        <v>45687</v>
      </c>
      <c r="C67" s="3" t="s">
        <v>141</v>
      </c>
      <c r="D67" s="2" t="s">
        <v>28</v>
      </c>
      <c r="E67" s="2" t="s">
        <v>11</v>
      </c>
      <c r="F67" s="2" t="s">
        <v>12</v>
      </c>
      <c r="G67" s="2" t="s">
        <v>33</v>
      </c>
      <c r="H67" s="2" t="s">
        <v>14</v>
      </c>
      <c r="I67" s="2">
        <v>18.600000000000001</v>
      </c>
      <c r="J67" s="2">
        <v>2</v>
      </c>
      <c r="K67" s="2"/>
      <c r="L67" s="2"/>
      <c r="M67" s="2"/>
    </row>
    <row r="68" spans="1:13" x14ac:dyDescent="0.3">
      <c r="A68" s="2" t="s">
        <v>97</v>
      </c>
      <c r="B68" s="3">
        <v>45695</v>
      </c>
      <c r="C68" s="3" t="s">
        <v>142</v>
      </c>
      <c r="D68" s="2" t="s">
        <v>10</v>
      </c>
      <c r="E68" s="2" t="s">
        <v>17</v>
      </c>
      <c r="F68" s="2" t="s">
        <v>12</v>
      </c>
      <c r="G68" s="2" t="s">
        <v>13</v>
      </c>
      <c r="H68" s="2" t="s">
        <v>23</v>
      </c>
      <c r="I68" s="2">
        <v>50.7</v>
      </c>
      <c r="J68" s="2">
        <v>4.4000000000000004</v>
      </c>
      <c r="K68" s="2"/>
      <c r="L68" s="2"/>
      <c r="M68" s="2"/>
    </row>
    <row r="69" spans="1:13" x14ac:dyDescent="0.3">
      <c r="A69" s="2" t="s">
        <v>98</v>
      </c>
      <c r="B69" s="3">
        <v>45668</v>
      </c>
      <c r="C69" s="3" t="s">
        <v>141</v>
      </c>
      <c r="D69" s="2" t="s">
        <v>38</v>
      </c>
      <c r="E69" s="2" t="s">
        <v>17</v>
      </c>
      <c r="F69" s="2" t="s">
        <v>32</v>
      </c>
      <c r="G69" s="2" t="s">
        <v>39</v>
      </c>
      <c r="H69" s="2" t="s">
        <v>19</v>
      </c>
      <c r="I69" s="2">
        <v>22.8</v>
      </c>
      <c r="J69" s="2">
        <v>1.5</v>
      </c>
      <c r="K69" s="2"/>
      <c r="L69" s="2"/>
      <c r="M69" s="2"/>
    </row>
    <row r="70" spans="1:13" x14ac:dyDescent="0.3">
      <c r="A70" s="2" t="s">
        <v>99</v>
      </c>
      <c r="B70" s="3">
        <v>45687</v>
      </c>
      <c r="C70" s="3" t="s">
        <v>141</v>
      </c>
      <c r="D70" s="2" t="s">
        <v>38</v>
      </c>
      <c r="E70" s="2" t="s">
        <v>17</v>
      </c>
      <c r="F70" s="2" t="s">
        <v>12</v>
      </c>
      <c r="G70" s="2" t="s">
        <v>26</v>
      </c>
      <c r="H70" s="2" t="s">
        <v>14</v>
      </c>
      <c r="I70" s="2">
        <v>49.7</v>
      </c>
      <c r="J70" s="2">
        <v>1.3</v>
      </c>
      <c r="K70" s="2"/>
      <c r="L70" s="2"/>
      <c r="M70" s="2"/>
    </row>
    <row r="71" spans="1:13" x14ac:dyDescent="0.3">
      <c r="A71" s="2" t="s">
        <v>100</v>
      </c>
      <c r="B71" s="3">
        <v>45670</v>
      </c>
      <c r="C71" s="3" t="s">
        <v>141</v>
      </c>
      <c r="D71" s="2" t="s">
        <v>25</v>
      </c>
      <c r="E71" s="2" t="s">
        <v>17</v>
      </c>
      <c r="F71" s="2" t="s">
        <v>12</v>
      </c>
      <c r="G71" s="2" t="s">
        <v>26</v>
      </c>
      <c r="H71" s="2" t="s">
        <v>40</v>
      </c>
      <c r="I71" s="2">
        <v>58.3</v>
      </c>
      <c r="J71" s="2">
        <v>3</v>
      </c>
      <c r="K71" s="2"/>
      <c r="L71" s="2"/>
      <c r="M71" s="2"/>
    </row>
    <row r="72" spans="1:13" x14ac:dyDescent="0.3">
      <c r="A72" s="2" t="s">
        <v>101</v>
      </c>
      <c r="B72" s="3">
        <v>45706</v>
      </c>
      <c r="C72" s="3" t="s">
        <v>142</v>
      </c>
      <c r="D72" s="2" t="s">
        <v>36</v>
      </c>
      <c r="E72" s="2" t="s">
        <v>21</v>
      </c>
      <c r="F72" s="2" t="s">
        <v>22</v>
      </c>
      <c r="G72" s="2" t="s">
        <v>13</v>
      </c>
      <c r="H72" s="2" t="s">
        <v>19</v>
      </c>
      <c r="I72" s="2">
        <v>57.6</v>
      </c>
      <c r="J72" s="2">
        <v>3.3</v>
      </c>
      <c r="K72" s="2"/>
      <c r="L72" s="2"/>
      <c r="M72" s="2"/>
    </row>
    <row r="73" spans="1:13" x14ac:dyDescent="0.3">
      <c r="A73" s="2" t="s">
        <v>102</v>
      </c>
      <c r="B73" s="3">
        <v>45693</v>
      </c>
      <c r="C73" s="3" t="s">
        <v>142</v>
      </c>
      <c r="D73" s="2" t="s">
        <v>16</v>
      </c>
      <c r="E73" s="2" t="s">
        <v>21</v>
      </c>
      <c r="F73" s="2" t="s">
        <v>22</v>
      </c>
      <c r="G73" s="2" t="s">
        <v>18</v>
      </c>
      <c r="H73" s="2" t="s">
        <v>23</v>
      </c>
      <c r="I73" s="2">
        <v>41.4</v>
      </c>
      <c r="J73" s="2">
        <v>3.7</v>
      </c>
      <c r="K73" s="2"/>
      <c r="L73" s="2"/>
      <c r="M73" s="2"/>
    </row>
    <row r="74" spans="1:13" x14ac:dyDescent="0.3">
      <c r="A74" s="2" t="s">
        <v>103</v>
      </c>
      <c r="B74" s="3">
        <v>45716</v>
      </c>
      <c r="C74" s="3" t="s">
        <v>142</v>
      </c>
      <c r="D74" s="2" t="s">
        <v>36</v>
      </c>
      <c r="E74" s="2" t="s">
        <v>11</v>
      </c>
      <c r="F74" s="2" t="s">
        <v>12</v>
      </c>
      <c r="G74" s="2" t="s">
        <v>39</v>
      </c>
      <c r="H74" s="2" t="s">
        <v>19</v>
      </c>
      <c r="I74" s="2">
        <v>4.4000000000000004</v>
      </c>
      <c r="J74" s="2">
        <v>1.6</v>
      </c>
      <c r="K74" s="2"/>
      <c r="L74" s="2"/>
      <c r="M74" s="2"/>
    </row>
    <row r="75" spans="1:13" x14ac:dyDescent="0.3">
      <c r="A75" s="2" t="s">
        <v>104</v>
      </c>
      <c r="B75" s="3">
        <v>45738</v>
      </c>
      <c r="C75" s="3" t="s">
        <v>140</v>
      </c>
      <c r="D75" s="2" t="s">
        <v>10</v>
      </c>
      <c r="E75" s="2" t="s">
        <v>11</v>
      </c>
      <c r="F75" s="2" t="s">
        <v>32</v>
      </c>
      <c r="G75" s="2" t="s">
        <v>39</v>
      </c>
      <c r="H75" s="2" t="s">
        <v>19</v>
      </c>
      <c r="I75" s="2">
        <v>39.1</v>
      </c>
      <c r="J75" s="2">
        <v>4.2</v>
      </c>
      <c r="K75" s="2"/>
      <c r="L75" s="2"/>
      <c r="M75" s="2"/>
    </row>
    <row r="76" spans="1:13" x14ac:dyDescent="0.3">
      <c r="A76" s="2" t="s">
        <v>105</v>
      </c>
      <c r="B76" s="3">
        <v>45704</v>
      </c>
      <c r="C76" s="3" t="s">
        <v>142</v>
      </c>
      <c r="D76" s="2" t="s">
        <v>38</v>
      </c>
      <c r="E76" s="2" t="s">
        <v>11</v>
      </c>
      <c r="F76" s="2" t="s">
        <v>32</v>
      </c>
      <c r="G76" s="2" t="s">
        <v>18</v>
      </c>
      <c r="H76" s="2" t="s">
        <v>19</v>
      </c>
      <c r="I76" s="2">
        <v>48.1</v>
      </c>
      <c r="J76" s="2">
        <v>4.8</v>
      </c>
      <c r="K76" s="2"/>
      <c r="L76" s="2"/>
      <c r="M76" s="2"/>
    </row>
    <row r="77" spans="1:13" x14ac:dyDescent="0.3">
      <c r="A77" s="2" t="s">
        <v>106</v>
      </c>
      <c r="B77" s="3">
        <v>45678</v>
      </c>
      <c r="C77" s="3" t="s">
        <v>141</v>
      </c>
      <c r="D77" s="2" t="s">
        <v>25</v>
      </c>
      <c r="E77" s="2" t="s">
        <v>21</v>
      </c>
      <c r="F77" s="2" t="s">
        <v>22</v>
      </c>
      <c r="G77" s="2" t="s">
        <v>13</v>
      </c>
      <c r="H77" s="2" t="s">
        <v>40</v>
      </c>
      <c r="I77" s="2">
        <v>6.4</v>
      </c>
      <c r="J77" s="2">
        <v>1.3</v>
      </c>
      <c r="K77" s="2"/>
      <c r="L77" s="2"/>
      <c r="M77" s="2"/>
    </row>
    <row r="78" spans="1:13" x14ac:dyDescent="0.3">
      <c r="A78" s="2" t="s">
        <v>107</v>
      </c>
      <c r="B78" s="3">
        <v>45705</v>
      </c>
      <c r="C78" s="3" t="s">
        <v>142</v>
      </c>
      <c r="D78" s="2" t="s">
        <v>38</v>
      </c>
      <c r="E78" s="2" t="s">
        <v>11</v>
      </c>
      <c r="F78" s="2" t="s">
        <v>12</v>
      </c>
      <c r="G78" s="2" t="s">
        <v>13</v>
      </c>
      <c r="H78" s="2" t="s">
        <v>23</v>
      </c>
      <c r="I78" s="2">
        <v>47.2</v>
      </c>
      <c r="J78" s="2">
        <v>2</v>
      </c>
      <c r="K78" s="2"/>
      <c r="L78" s="2"/>
      <c r="M78" s="2"/>
    </row>
    <row r="79" spans="1:13" x14ac:dyDescent="0.3">
      <c r="A79" s="2" t="s">
        <v>108</v>
      </c>
      <c r="B79" s="3">
        <v>45703</v>
      </c>
      <c r="C79" s="3" t="s">
        <v>142</v>
      </c>
      <c r="D79" s="2" t="s">
        <v>36</v>
      </c>
      <c r="E79" s="2" t="s">
        <v>17</v>
      </c>
      <c r="F79" s="2" t="s">
        <v>22</v>
      </c>
      <c r="G79" s="2" t="s">
        <v>26</v>
      </c>
      <c r="H79" s="2" t="s">
        <v>23</v>
      </c>
      <c r="I79" s="2">
        <v>2.4</v>
      </c>
      <c r="J79" s="2">
        <v>3.2</v>
      </c>
      <c r="K79" s="2"/>
      <c r="L79" s="2"/>
      <c r="M79" s="2"/>
    </row>
    <row r="80" spans="1:13" x14ac:dyDescent="0.3">
      <c r="A80" s="2" t="s">
        <v>109</v>
      </c>
      <c r="B80" s="3">
        <v>45684</v>
      </c>
      <c r="C80" s="3" t="s">
        <v>141</v>
      </c>
      <c r="D80" s="2" t="s">
        <v>36</v>
      </c>
      <c r="E80" s="2" t="s">
        <v>21</v>
      </c>
      <c r="F80" s="2" t="s">
        <v>32</v>
      </c>
      <c r="G80" s="2" t="s">
        <v>18</v>
      </c>
      <c r="H80" s="2" t="s">
        <v>23</v>
      </c>
      <c r="I80" s="2">
        <v>31.1</v>
      </c>
      <c r="J80" s="2">
        <v>2.7</v>
      </c>
      <c r="K80" s="2"/>
      <c r="L80" s="2"/>
      <c r="M80" s="2"/>
    </row>
    <row r="81" spans="1:13" x14ac:dyDescent="0.3">
      <c r="A81" s="2" t="s">
        <v>110</v>
      </c>
      <c r="B81" s="3">
        <v>45742</v>
      </c>
      <c r="C81" s="3" t="s">
        <v>140</v>
      </c>
      <c r="D81" s="2" t="s">
        <v>16</v>
      </c>
      <c r="E81" s="2" t="s">
        <v>11</v>
      </c>
      <c r="F81" s="2" t="s">
        <v>12</v>
      </c>
      <c r="G81" s="2" t="s">
        <v>13</v>
      </c>
      <c r="H81" s="2" t="s">
        <v>14</v>
      </c>
      <c r="I81" s="2">
        <v>36.1</v>
      </c>
      <c r="J81" s="2">
        <v>3.4</v>
      </c>
      <c r="K81" s="2"/>
      <c r="L81" s="2"/>
      <c r="M81" s="2"/>
    </row>
    <row r="82" spans="1:13" x14ac:dyDescent="0.3">
      <c r="A82" s="2" t="s">
        <v>111</v>
      </c>
      <c r="B82" s="3">
        <v>45692</v>
      </c>
      <c r="C82" s="3" t="s">
        <v>142</v>
      </c>
      <c r="D82" s="2" t="s">
        <v>16</v>
      </c>
      <c r="E82" s="2" t="s">
        <v>17</v>
      </c>
      <c r="F82" s="2" t="s">
        <v>22</v>
      </c>
      <c r="G82" s="2" t="s">
        <v>33</v>
      </c>
      <c r="H82" s="2" t="s">
        <v>23</v>
      </c>
      <c r="I82" s="2">
        <v>32.1</v>
      </c>
      <c r="J82" s="2">
        <v>3.5</v>
      </c>
      <c r="K82" s="2"/>
      <c r="L82" s="2"/>
      <c r="M82" s="2"/>
    </row>
    <row r="83" spans="1:13" x14ac:dyDescent="0.3">
      <c r="A83" s="2" t="s">
        <v>112</v>
      </c>
      <c r="B83" s="3">
        <v>45746</v>
      </c>
      <c r="C83" s="3" t="s">
        <v>140</v>
      </c>
      <c r="D83" s="2" t="s">
        <v>25</v>
      </c>
      <c r="E83" s="2" t="s">
        <v>11</v>
      </c>
      <c r="F83" s="2" t="s">
        <v>22</v>
      </c>
      <c r="G83" s="2" t="s">
        <v>39</v>
      </c>
      <c r="H83" s="2" t="s">
        <v>23</v>
      </c>
      <c r="I83" s="2">
        <v>27</v>
      </c>
      <c r="J83" s="2">
        <v>4.0999999999999996</v>
      </c>
      <c r="K83" s="2"/>
      <c r="L83" s="2"/>
      <c r="M83" s="2"/>
    </row>
    <row r="84" spans="1:13" x14ac:dyDescent="0.3">
      <c r="A84" s="2" t="s">
        <v>113</v>
      </c>
      <c r="B84" s="3">
        <v>45744</v>
      </c>
      <c r="C84" s="3" t="s">
        <v>140</v>
      </c>
      <c r="D84" s="2" t="s">
        <v>16</v>
      </c>
      <c r="E84" s="2" t="s">
        <v>31</v>
      </c>
      <c r="F84" s="2" t="s">
        <v>32</v>
      </c>
      <c r="G84" s="2" t="s">
        <v>26</v>
      </c>
      <c r="H84" s="2" t="s">
        <v>40</v>
      </c>
      <c r="I84" s="2">
        <v>64.400000000000006</v>
      </c>
      <c r="J84" s="2">
        <v>2.5</v>
      </c>
      <c r="K84" s="2"/>
      <c r="L84" s="2"/>
      <c r="M84" s="2"/>
    </row>
    <row r="85" spans="1:13" x14ac:dyDescent="0.3">
      <c r="A85" s="2" t="s">
        <v>114</v>
      </c>
      <c r="B85" s="3">
        <v>45739</v>
      </c>
      <c r="C85" s="3" t="s">
        <v>140</v>
      </c>
      <c r="D85" s="2" t="s">
        <v>36</v>
      </c>
      <c r="E85" s="2" t="s">
        <v>11</v>
      </c>
      <c r="F85" s="2" t="s">
        <v>22</v>
      </c>
      <c r="G85" s="2" t="s">
        <v>18</v>
      </c>
      <c r="H85" s="2" t="s">
        <v>14</v>
      </c>
      <c r="I85" s="2">
        <v>33.9</v>
      </c>
      <c r="J85" s="2">
        <v>4.5999999999999996</v>
      </c>
      <c r="K85" s="2"/>
      <c r="L85" s="2"/>
      <c r="M85" s="2"/>
    </row>
    <row r="86" spans="1:13" x14ac:dyDescent="0.3">
      <c r="A86" s="2" t="s">
        <v>115</v>
      </c>
      <c r="B86" s="3">
        <v>45667</v>
      </c>
      <c r="C86" s="3" t="s">
        <v>141</v>
      </c>
      <c r="D86" s="2" t="s">
        <v>36</v>
      </c>
      <c r="E86" s="2" t="s">
        <v>31</v>
      </c>
      <c r="F86" s="2" t="s">
        <v>32</v>
      </c>
      <c r="G86" s="2" t="s">
        <v>26</v>
      </c>
      <c r="H86" s="2" t="s">
        <v>14</v>
      </c>
      <c r="I86" s="2">
        <v>12.3</v>
      </c>
      <c r="J86" s="2">
        <v>2.2000000000000002</v>
      </c>
      <c r="K86" s="2"/>
      <c r="L86" s="2"/>
      <c r="M86" s="2"/>
    </row>
    <row r="87" spans="1:13" x14ac:dyDescent="0.3">
      <c r="A87" s="2" t="s">
        <v>116</v>
      </c>
      <c r="B87" s="3">
        <v>45734</v>
      </c>
      <c r="C87" s="3" t="s">
        <v>140</v>
      </c>
      <c r="D87" s="2" t="s">
        <v>10</v>
      </c>
      <c r="E87" s="2" t="s">
        <v>11</v>
      </c>
      <c r="F87" s="2" t="s">
        <v>32</v>
      </c>
      <c r="G87" s="2" t="s">
        <v>13</v>
      </c>
      <c r="H87" s="2" t="s">
        <v>19</v>
      </c>
      <c r="I87" s="2">
        <v>13.9</v>
      </c>
      <c r="J87" s="2">
        <v>3.4</v>
      </c>
      <c r="K87" s="2"/>
      <c r="L87" s="2"/>
      <c r="M87" s="2"/>
    </row>
    <row r="88" spans="1:13" x14ac:dyDescent="0.3">
      <c r="A88" s="2" t="s">
        <v>117</v>
      </c>
      <c r="B88" s="3">
        <v>45738</v>
      </c>
      <c r="C88" s="3" t="s">
        <v>140</v>
      </c>
      <c r="D88" s="2" t="s">
        <v>36</v>
      </c>
      <c r="E88" s="2" t="s">
        <v>11</v>
      </c>
      <c r="F88" s="2" t="s">
        <v>12</v>
      </c>
      <c r="G88" s="2" t="s">
        <v>13</v>
      </c>
      <c r="H88" s="2" t="s">
        <v>14</v>
      </c>
      <c r="I88" s="2">
        <v>38.299999999999997</v>
      </c>
      <c r="J88" s="2">
        <v>2.7</v>
      </c>
      <c r="K88" s="2"/>
      <c r="L88" s="2"/>
      <c r="M88" s="2"/>
    </row>
    <row r="89" spans="1:13" x14ac:dyDescent="0.3">
      <c r="A89" s="2" t="s">
        <v>118</v>
      </c>
      <c r="B89" s="3">
        <v>45679</v>
      </c>
      <c r="C89" s="3" t="s">
        <v>141</v>
      </c>
      <c r="D89" s="2" t="s">
        <v>25</v>
      </c>
      <c r="E89" s="2" t="s">
        <v>21</v>
      </c>
      <c r="F89" s="2" t="s">
        <v>12</v>
      </c>
      <c r="G89" s="2" t="s">
        <v>33</v>
      </c>
      <c r="H89" s="2" t="s">
        <v>14</v>
      </c>
      <c r="I89" s="2">
        <v>47.4</v>
      </c>
      <c r="J89" s="2">
        <v>3.3</v>
      </c>
      <c r="K89" s="2"/>
      <c r="L89" s="2"/>
      <c r="M89" s="2"/>
    </row>
    <row r="90" spans="1:13" x14ac:dyDescent="0.3">
      <c r="A90" s="2" t="s">
        <v>119</v>
      </c>
      <c r="B90" s="3">
        <v>45725</v>
      </c>
      <c r="C90" s="3" t="s">
        <v>140</v>
      </c>
      <c r="D90" s="2" t="s">
        <v>28</v>
      </c>
      <c r="E90" s="2" t="s">
        <v>21</v>
      </c>
      <c r="F90" s="2" t="s">
        <v>22</v>
      </c>
      <c r="G90" s="2" t="s">
        <v>39</v>
      </c>
      <c r="H90" s="2" t="s">
        <v>40</v>
      </c>
      <c r="I90" s="2">
        <v>44.9</v>
      </c>
      <c r="J90" s="2">
        <v>1.2</v>
      </c>
      <c r="K90" s="2"/>
      <c r="L90" s="2"/>
      <c r="M90" s="2"/>
    </row>
    <row r="91" spans="1:13" x14ac:dyDescent="0.3">
      <c r="A91" s="2" t="s">
        <v>120</v>
      </c>
      <c r="B91" s="3">
        <v>45689</v>
      </c>
      <c r="C91" s="3" t="s">
        <v>142</v>
      </c>
      <c r="D91" s="2" t="s">
        <v>10</v>
      </c>
      <c r="E91" s="2" t="s">
        <v>31</v>
      </c>
      <c r="F91" s="2" t="s">
        <v>32</v>
      </c>
      <c r="G91" s="2" t="s">
        <v>18</v>
      </c>
      <c r="H91" s="2" t="s">
        <v>23</v>
      </c>
      <c r="I91" s="2">
        <v>66.3</v>
      </c>
      <c r="J91" s="2">
        <v>4.8</v>
      </c>
      <c r="K91" s="2"/>
      <c r="L91" s="2"/>
      <c r="M91" s="2"/>
    </row>
    <row r="92" spans="1:13" x14ac:dyDescent="0.3">
      <c r="A92" s="2" t="s">
        <v>121</v>
      </c>
      <c r="B92" s="3">
        <v>45678</v>
      </c>
      <c r="C92" s="3" t="s">
        <v>141</v>
      </c>
      <c r="D92" s="2" t="s">
        <v>10</v>
      </c>
      <c r="E92" s="2" t="s">
        <v>21</v>
      </c>
      <c r="F92" s="2" t="s">
        <v>32</v>
      </c>
      <c r="G92" s="2" t="s">
        <v>26</v>
      </c>
      <c r="H92" s="2" t="s">
        <v>14</v>
      </c>
      <c r="I92" s="2">
        <v>56.1</v>
      </c>
      <c r="J92" s="2">
        <v>1.4</v>
      </c>
      <c r="K92" s="2"/>
      <c r="L92" s="2"/>
      <c r="M92" s="2"/>
    </row>
    <row r="93" spans="1:13" x14ac:dyDescent="0.3">
      <c r="A93" s="2" t="s">
        <v>122</v>
      </c>
      <c r="B93" s="3">
        <v>45716</v>
      </c>
      <c r="C93" s="3" t="s">
        <v>142</v>
      </c>
      <c r="D93" s="2" t="s">
        <v>25</v>
      </c>
      <c r="E93" s="2" t="s">
        <v>17</v>
      </c>
      <c r="F93" s="2" t="s">
        <v>12</v>
      </c>
      <c r="G93" s="2" t="s">
        <v>39</v>
      </c>
      <c r="H93" s="2" t="s">
        <v>14</v>
      </c>
      <c r="I93" s="2">
        <v>34.299999999999997</v>
      </c>
      <c r="J93" s="2">
        <v>4.0999999999999996</v>
      </c>
      <c r="K93" s="2"/>
      <c r="L93" s="2"/>
      <c r="M93" s="2"/>
    </row>
    <row r="94" spans="1:13" x14ac:dyDescent="0.3">
      <c r="A94" s="2" t="s">
        <v>123</v>
      </c>
      <c r="B94" s="3">
        <v>45706</v>
      </c>
      <c r="C94" s="3" t="s">
        <v>142</v>
      </c>
      <c r="D94" s="2" t="s">
        <v>25</v>
      </c>
      <c r="E94" s="2" t="s">
        <v>17</v>
      </c>
      <c r="F94" s="2" t="s">
        <v>12</v>
      </c>
      <c r="G94" s="2" t="s">
        <v>13</v>
      </c>
      <c r="H94" s="2" t="s">
        <v>40</v>
      </c>
      <c r="I94" s="2">
        <v>59.7</v>
      </c>
      <c r="J94" s="2">
        <v>3.5</v>
      </c>
      <c r="K94" s="2"/>
      <c r="L94" s="2"/>
      <c r="M94" s="2"/>
    </row>
    <row r="95" spans="1:13" x14ac:dyDescent="0.3">
      <c r="A95" s="2" t="s">
        <v>124</v>
      </c>
      <c r="B95" s="3">
        <v>45692</v>
      </c>
      <c r="C95" s="3" t="s">
        <v>142</v>
      </c>
      <c r="D95" s="2" t="s">
        <v>16</v>
      </c>
      <c r="E95" s="2" t="s">
        <v>31</v>
      </c>
      <c r="F95" s="2" t="s">
        <v>32</v>
      </c>
      <c r="G95" s="2" t="s">
        <v>39</v>
      </c>
      <c r="H95" s="2" t="s">
        <v>14</v>
      </c>
      <c r="I95" s="2">
        <v>43.3</v>
      </c>
      <c r="J95" s="2">
        <v>2.1</v>
      </c>
      <c r="K95" s="2"/>
      <c r="L95" s="2"/>
      <c r="M95" s="2"/>
    </row>
    <row r="96" spans="1:13" x14ac:dyDescent="0.3">
      <c r="A96" s="2" t="s">
        <v>125</v>
      </c>
      <c r="B96" s="3">
        <v>45738</v>
      </c>
      <c r="C96" s="3" t="s">
        <v>140</v>
      </c>
      <c r="D96" s="2" t="s">
        <v>10</v>
      </c>
      <c r="E96" s="2" t="s">
        <v>17</v>
      </c>
      <c r="F96" s="2" t="s">
        <v>12</v>
      </c>
      <c r="G96" s="2" t="s">
        <v>26</v>
      </c>
      <c r="H96" s="2" t="s">
        <v>14</v>
      </c>
      <c r="I96" s="2">
        <v>24.2</v>
      </c>
      <c r="J96" s="2">
        <v>1.3</v>
      </c>
      <c r="K96" s="2"/>
      <c r="L96" s="2"/>
      <c r="M96" s="2"/>
    </row>
    <row r="97" spans="1:13" x14ac:dyDescent="0.3">
      <c r="A97" s="2" t="s">
        <v>126</v>
      </c>
      <c r="B97" s="3">
        <v>45745</v>
      </c>
      <c r="C97" s="3" t="s">
        <v>140</v>
      </c>
      <c r="D97" s="2" t="s">
        <v>16</v>
      </c>
      <c r="E97" s="2" t="s">
        <v>17</v>
      </c>
      <c r="F97" s="2" t="s">
        <v>22</v>
      </c>
      <c r="G97" s="2" t="s">
        <v>39</v>
      </c>
      <c r="H97" s="2" t="s">
        <v>40</v>
      </c>
      <c r="I97" s="2">
        <v>18.8</v>
      </c>
      <c r="J97" s="2">
        <v>2</v>
      </c>
      <c r="K97" s="2"/>
      <c r="L97" s="2"/>
      <c r="M97" s="2"/>
    </row>
    <row r="98" spans="1:13" x14ac:dyDescent="0.3">
      <c r="A98" s="2" t="s">
        <v>127</v>
      </c>
      <c r="B98" s="3">
        <v>45728</v>
      </c>
      <c r="C98" s="3" t="s">
        <v>140</v>
      </c>
      <c r="D98" s="2" t="s">
        <v>36</v>
      </c>
      <c r="E98" s="2" t="s">
        <v>11</v>
      </c>
      <c r="F98" s="2" t="s">
        <v>32</v>
      </c>
      <c r="G98" s="2" t="s">
        <v>13</v>
      </c>
      <c r="H98" s="2" t="s">
        <v>19</v>
      </c>
      <c r="I98" s="2">
        <v>67.400000000000006</v>
      </c>
      <c r="J98" s="2">
        <v>3.2</v>
      </c>
      <c r="K98" s="2"/>
      <c r="L98" s="2"/>
      <c r="M98" s="2"/>
    </row>
    <row r="99" spans="1:13" x14ac:dyDescent="0.3">
      <c r="A99" s="2" t="s">
        <v>128</v>
      </c>
      <c r="B99" s="3">
        <v>45686</v>
      </c>
      <c r="C99" s="3" t="s">
        <v>141</v>
      </c>
      <c r="D99" s="2" t="s">
        <v>10</v>
      </c>
      <c r="E99" s="2" t="s">
        <v>21</v>
      </c>
      <c r="F99" s="2" t="s">
        <v>12</v>
      </c>
      <c r="G99" s="2" t="s">
        <v>39</v>
      </c>
      <c r="H99" s="2" t="s">
        <v>19</v>
      </c>
      <c r="I99" s="2">
        <v>21.2</v>
      </c>
      <c r="J99" s="2">
        <v>1.6</v>
      </c>
      <c r="K99" s="2"/>
      <c r="L99" s="2"/>
      <c r="M99" s="2"/>
    </row>
    <row r="100" spans="1:13" x14ac:dyDescent="0.3">
      <c r="A100" s="2" t="s">
        <v>129</v>
      </c>
      <c r="B100" s="3">
        <v>45744</v>
      </c>
      <c r="C100" s="3" t="s">
        <v>140</v>
      </c>
      <c r="D100" s="2" t="s">
        <v>10</v>
      </c>
      <c r="E100" s="2" t="s">
        <v>17</v>
      </c>
      <c r="F100" s="2" t="s">
        <v>22</v>
      </c>
      <c r="G100" s="2" t="s">
        <v>18</v>
      </c>
      <c r="H100" s="2" t="s">
        <v>14</v>
      </c>
      <c r="I100" s="2">
        <v>33.299999999999997</v>
      </c>
      <c r="J100" s="2">
        <v>2.6</v>
      </c>
      <c r="K100" s="2"/>
      <c r="L100" s="2"/>
      <c r="M100" s="2"/>
    </row>
    <row r="101" spans="1:13" x14ac:dyDescent="0.3">
      <c r="A101" s="2" t="s">
        <v>130</v>
      </c>
      <c r="B101" s="3">
        <v>45699</v>
      </c>
      <c r="C101" s="3" t="s">
        <v>142</v>
      </c>
      <c r="D101" s="2" t="s">
        <v>38</v>
      </c>
      <c r="E101" s="2" t="s">
        <v>17</v>
      </c>
      <c r="F101" s="2" t="s">
        <v>32</v>
      </c>
      <c r="G101" s="2" t="s">
        <v>39</v>
      </c>
      <c r="H101" s="2" t="s">
        <v>14</v>
      </c>
      <c r="I101" s="2">
        <v>54.4</v>
      </c>
      <c r="J101" s="2">
        <v>3.8</v>
      </c>
      <c r="K101" s="2"/>
      <c r="L101" s="2"/>
      <c r="M10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A36F-E998-4327-96DE-001F7831ED47}">
  <dimension ref="A1:H25"/>
  <sheetViews>
    <sheetView tabSelected="1" workbookViewId="0">
      <selection activeCell="I14" sqref="I14"/>
    </sheetView>
  </sheetViews>
  <sheetFormatPr defaultRowHeight="14.4" x14ac:dyDescent="0.3"/>
  <cols>
    <col min="1" max="1" width="11.5546875" bestFit="1" customWidth="1"/>
    <col min="2" max="2" width="31.109375" bestFit="1" customWidth="1"/>
    <col min="5" max="5" width="19.109375" bestFit="1" customWidth="1"/>
    <col min="6" max="6" width="24.88671875" bestFit="1" customWidth="1"/>
    <col min="7" max="7" width="21.109375" bestFit="1" customWidth="1"/>
    <col min="8" max="8" width="25.44140625" bestFit="1" customWidth="1"/>
  </cols>
  <sheetData>
    <row r="1" spans="1:6" ht="15.6" x14ac:dyDescent="0.3">
      <c r="A1" s="4" t="s">
        <v>131</v>
      </c>
      <c r="B1" s="4"/>
      <c r="E1" s="4" t="s">
        <v>138</v>
      </c>
      <c r="F1" s="4"/>
    </row>
    <row r="2" spans="1:6" x14ac:dyDescent="0.3">
      <c r="A2" s="10" t="s">
        <v>2</v>
      </c>
      <c r="B2" s="11" t="s">
        <v>133</v>
      </c>
      <c r="E2" s="7" t="s">
        <v>5</v>
      </c>
      <c r="F2" s="5" t="s">
        <v>137</v>
      </c>
    </row>
    <row r="3" spans="1:6" x14ac:dyDescent="0.3">
      <c r="A3" s="8" t="s">
        <v>36</v>
      </c>
      <c r="B3" s="9">
        <v>19</v>
      </c>
      <c r="E3" s="5" t="s">
        <v>18</v>
      </c>
      <c r="F3" s="16">
        <v>3.0562499999999999</v>
      </c>
    </row>
    <row r="4" spans="1:6" x14ac:dyDescent="0.3">
      <c r="A4" s="5" t="s">
        <v>28</v>
      </c>
      <c r="B4" s="6">
        <v>14</v>
      </c>
      <c r="E4" s="5" t="s">
        <v>39</v>
      </c>
      <c r="F4" s="16">
        <v>2.964</v>
      </c>
    </row>
    <row r="5" spans="1:6" x14ac:dyDescent="0.3">
      <c r="A5" s="5" t="s">
        <v>25</v>
      </c>
      <c r="B5" s="6">
        <v>16</v>
      </c>
      <c r="E5" s="5" t="s">
        <v>33</v>
      </c>
      <c r="F5" s="16">
        <v>2.9549999999999996</v>
      </c>
    </row>
    <row r="6" spans="1:6" x14ac:dyDescent="0.3">
      <c r="A6" s="5" t="s">
        <v>10</v>
      </c>
      <c r="B6" s="6">
        <v>18</v>
      </c>
      <c r="E6" s="5" t="s">
        <v>13</v>
      </c>
      <c r="F6" s="16">
        <v>2.8888888888888888</v>
      </c>
    </row>
    <row r="7" spans="1:6" x14ac:dyDescent="0.3">
      <c r="A7" s="5" t="s">
        <v>16</v>
      </c>
      <c r="B7" s="6">
        <v>17</v>
      </c>
      <c r="E7" s="5" t="s">
        <v>26</v>
      </c>
      <c r="F7" s="16">
        <v>2.538095238095238</v>
      </c>
    </row>
    <row r="8" spans="1:6" x14ac:dyDescent="0.3">
      <c r="A8" s="5" t="s">
        <v>38</v>
      </c>
      <c r="B8" s="6">
        <v>16</v>
      </c>
    </row>
    <row r="11" spans="1:6" ht="15.6" x14ac:dyDescent="0.3">
      <c r="A11" s="4" t="s">
        <v>134</v>
      </c>
      <c r="B11" s="4"/>
      <c r="E11" s="4" t="s">
        <v>143</v>
      </c>
      <c r="F11" s="4"/>
    </row>
    <row r="12" spans="1:6" x14ac:dyDescent="0.3">
      <c r="A12" s="10" t="s">
        <v>4</v>
      </c>
      <c r="B12" s="11" t="s">
        <v>132</v>
      </c>
      <c r="E12" s="7" t="s">
        <v>144</v>
      </c>
      <c r="F12" s="5" t="s">
        <v>132</v>
      </c>
    </row>
    <row r="13" spans="1:6" x14ac:dyDescent="0.3">
      <c r="A13" s="5" t="s">
        <v>22</v>
      </c>
      <c r="B13" s="6">
        <v>36</v>
      </c>
      <c r="E13" s="5" t="s">
        <v>141</v>
      </c>
      <c r="F13" s="6">
        <v>37</v>
      </c>
    </row>
    <row r="14" spans="1:6" x14ac:dyDescent="0.3">
      <c r="A14" s="5" t="s">
        <v>32</v>
      </c>
      <c r="B14" s="6">
        <v>30</v>
      </c>
      <c r="E14" s="5" t="s">
        <v>140</v>
      </c>
      <c r="F14" s="6">
        <v>32</v>
      </c>
    </row>
    <row r="15" spans="1:6" x14ac:dyDescent="0.3">
      <c r="A15" s="5" t="s">
        <v>12</v>
      </c>
      <c r="B15" s="6">
        <v>34</v>
      </c>
      <c r="E15" s="5" t="s">
        <v>142</v>
      </c>
      <c r="F15" s="6">
        <v>31</v>
      </c>
    </row>
    <row r="18" spans="1:8" ht="15.6" x14ac:dyDescent="0.3">
      <c r="A18" s="4" t="s">
        <v>136</v>
      </c>
      <c r="B18" s="4"/>
      <c r="E18" s="12" t="s">
        <v>147</v>
      </c>
      <c r="F18" s="13"/>
      <c r="G18" s="13"/>
      <c r="H18" s="14"/>
    </row>
    <row r="19" spans="1:8" x14ac:dyDescent="0.3">
      <c r="A19" s="7" t="s">
        <v>3</v>
      </c>
      <c r="B19" s="5" t="s">
        <v>135</v>
      </c>
      <c r="E19" s="7" t="s">
        <v>2</v>
      </c>
      <c r="F19" s="5" t="s">
        <v>145</v>
      </c>
      <c r="G19" s="5" t="s">
        <v>146</v>
      </c>
      <c r="H19" s="5" t="s">
        <v>148</v>
      </c>
    </row>
    <row r="20" spans="1:8" x14ac:dyDescent="0.3">
      <c r="A20" s="5" t="s">
        <v>31</v>
      </c>
      <c r="B20" s="16">
        <v>47.153846153846153</v>
      </c>
      <c r="E20" s="5" t="s">
        <v>10</v>
      </c>
      <c r="F20" s="6">
        <v>51.699999999999996</v>
      </c>
      <c r="G20" s="6">
        <v>708.7</v>
      </c>
      <c r="H20" s="15">
        <v>7.295047269648651E-2</v>
      </c>
    </row>
    <row r="21" spans="1:8" x14ac:dyDescent="0.3">
      <c r="A21" s="5" t="s">
        <v>17</v>
      </c>
      <c r="B21" s="16">
        <v>40.57586206896552</v>
      </c>
      <c r="E21" s="5" t="s">
        <v>36</v>
      </c>
      <c r="F21" s="6">
        <v>55.000000000000014</v>
      </c>
      <c r="G21" s="6">
        <v>694.29999999999984</v>
      </c>
      <c r="H21" s="15">
        <v>7.9216477027221704E-2</v>
      </c>
    </row>
    <row r="22" spans="1:8" x14ac:dyDescent="0.3">
      <c r="A22" s="5" t="s">
        <v>21</v>
      </c>
      <c r="B22" s="16">
        <v>39.499999999999993</v>
      </c>
      <c r="E22" s="5" t="s">
        <v>16</v>
      </c>
      <c r="F22" s="6">
        <v>51.400000000000006</v>
      </c>
      <c r="G22" s="6">
        <v>693.89999999999986</v>
      </c>
      <c r="H22" s="15">
        <v>7.4074074074074098E-2</v>
      </c>
    </row>
    <row r="23" spans="1:8" x14ac:dyDescent="0.3">
      <c r="A23" s="5" t="s">
        <v>11</v>
      </c>
      <c r="B23" s="16">
        <v>35.04137931034483</v>
      </c>
      <c r="E23" s="5" t="s">
        <v>38</v>
      </c>
      <c r="F23" s="6">
        <v>43.699999999999989</v>
      </c>
      <c r="G23" s="6">
        <v>692.80000000000007</v>
      </c>
      <c r="H23" s="15">
        <v>6.3077367205542703E-2</v>
      </c>
    </row>
    <row r="24" spans="1:8" x14ac:dyDescent="0.3">
      <c r="E24" s="5" t="s">
        <v>25</v>
      </c>
      <c r="F24" s="6">
        <v>48</v>
      </c>
      <c r="G24" s="6">
        <v>602.4</v>
      </c>
      <c r="H24" s="15">
        <v>7.9681274900398405E-2</v>
      </c>
    </row>
    <row r="25" spans="1:8" x14ac:dyDescent="0.3">
      <c r="E25" s="5" t="s">
        <v>28</v>
      </c>
      <c r="F25" s="6">
        <v>37.6</v>
      </c>
      <c r="G25" s="6">
        <v>559.29999999999995</v>
      </c>
      <c r="H25" s="15">
        <v>6.7226890756302532E-2</v>
      </c>
    </row>
  </sheetData>
  <mergeCells count="6">
    <mergeCell ref="E18:H18"/>
    <mergeCell ref="A1:B1"/>
    <mergeCell ref="A11:B11"/>
    <mergeCell ref="A18:B18"/>
    <mergeCell ref="E1:F1"/>
    <mergeCell ref="E11:F11"/>
  </mergeCells>
  <conditionalFormatting pivot="1" sqref="F3:F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7"/>
  <extLst>
    <ext xmlns:x15="http://schemas.microsoft.com/office/spreadsheetml/2010/11/main" uri="{7E03D99C-DC04-49d9-9315-930204A7B6E9}">
      <x15:timelineRefs>
        <x15:timelineRef r:id="rId8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</vt:lpstr>
      <vt:lpstr>Modified Dataset </vt:lpstr>
      <vt:lpstr>Pivot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2026-09-25T11:23:06Z</cp:lastPrinted>
  <dcterms:created xsi:type="dcterms:W3CDTF">2026-09-25T10:45:58Z</dcterms:created>
  <dcterms:modified xsi:type="dcterms:W3CDTF">2026-09-25T12:06:10Z</dcterms:modified>
</cp:coreProperties>
</file>
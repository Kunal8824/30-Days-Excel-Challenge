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7\"/>
    </mc:Choice>
  </mc:AlternateContent>
  <xr:revisionPtr revIDLastSave="0" documentId="13_ncr:1_{C49A57B8-2CD0-4F0D-BD5F-5536B320D071}" xr6:coauthVersionLast="47" xr6:coauthVersionMax="47" xr10:uidLastSave="{00000000-0000-0000-0000-000000000000}"/>
  <bookViews>
    <workbookView xWindow="-108" yWindow="-108" windowWidth="23256" windowHeight="12456" xr2:uid="{01575748-663E-43F7-808D-79BB424AEF74}"/>
  </bookViews>
  <sheets>
    <sheet name="Solution" sheetId="1" r:id="rId1"/>
    <sheet name="Expense Data" sheetId="2" r:id="rId2"/>
    <sheet name="Pivot Table " sheetId="3" r:id="rId3"/>
    <sheet name="Overspend Amount" sheetId="4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</calcChain>
</file>

<file path=xl/sharedStrings.xml><?xml version="1.0" encoding="utf-8"?>
<sst xmlns="http://schemas.openxmlformats.org/spreadsheetml/2006/main" count="4578" uniqueCount="88">
  <si>
    <t>Department</t>
  </si>
  <si>
    <t>Category</t>
  </si>
  <si>
    <t>Month</t>
  </si>
  <si>
    <t>Planned Budget ($)</t>
  </si>
  <si>
    <t>Actual Spend ($)</t>
  </si>
  <si>
    <t>Notes</t>
  </si>
  <si>
    <t>HR</t>
  </si>
  <si>
    <t>Travel</t>
  </si>
  <si>
    <t>October</t>
  </si>
  <si>
    <t>Sales</t>
  </si>
  <si>
    <t>Supplies</t>
  </si>
  <si>
    <t>May</t>
  </si>
  <si>
    <t>Urgent need</t>
  </si>
  <si>
    <t>Logistics</t>
  </si>
  <si>
    <t>July</t>
  </si>
  <si>
    <t>Overspend</t>
  </si>
  <si>
    <t>IT</t>
  </si>
  <si>
    <t>September</t>
  </si>
  <si>
    <t>February</t>
  </si>
  <si>
    <t>Delayed approval</t>
  </si>
  <si>
    <t>August</t>
  </si>
  <si>
    <t>November</t>
  </si>
  <si>
    <t>Marketing</t>
  </si>
  <si>
    <t>Training</t>
  </si>
  <si>
    <t>December</t>
  </si>
  <si>
    <t>Consulting</t>
  </si>
  <si>
    <t>June</t>
  </si>
  <si>
    <t>Operations</t>
  </si>
  <si>
    <t>Software</t>
  </si>
  <si>
    <t>January</t>
  </si>
  <si>
    <t>Refund expected</t>
  </si>
  <si>
    <t>Equipment</t>
  </si>
  <si>
    <t>April</t>
  </si>
  <si>
    <t>Finance</t>
  </si>
  <si>
    <t>March</t>
  </si>
  <si>
    <t>Events</t>
  </si>
  <si>
    <t>NA</t>
  </si>
  <si>
    <t>Budget Status</t>
  </si>
  <si>
    <t>Sum of Planned Budget ($)</t>
  </si>
  <si>
    <t>Sum of Actual Spend ($)</t>
  </si>
  <si>
    <t>Row Labels</t>
  </si>
  <si>
    <t>Over Budget</t>
  </si>
  <si>
    <t>On Budget</t>
  </si>
  <si>
    <t>Overspend Amount</t>
  </si>
  <si>
    <t>Overspend Percentage</t>
  </si>
  <si>
    <t>Day 07 Solution - Expense Report (Week 1 Practice Project)</t>
  </si>
  <si>
    <t>Task 1: Budget Status column</t>
  </si>
  <si>
    <t>Task</t>
  </si>
  <si>
    <t>Add a 'Budget Status' column: 'On Budget' if Actual Spend &lt;= Planned Budget, else 'Over Budget'.</t>
  </si>
  <si>
    <t>Formula (cell G2)</t>
  </si>
  <si>
    <t>=IF(E2&gt;D2,"Over Budget","On Budget")</t>
  </si>
  <si>
    <t>Where applied</t>
  </si>
  <si>
    <t>Expense_Data (Solved)!G2:G501, filled down for all 500 rows.</t>
  </si>
  <si>
    <t>Answer</t>
  </si>
  <si>
    <t>Over Budget: 277 rows | On Budget: 223 rows (of 500 total).</t>
  </si>
  <si>
    <t>Task 2: Pivot table - total planned vs actual spend by department</t>
  </si>
  <si>
    <t>Summarise total Planned Budget and total Actual Spend by Department.</t>
  </si>
  <si>
    <t>How to build in Excel</t>
  </si>
  <si>
    <t>Select Expense_Data (Solved)!A1:F501 -&gt; Insert -&gt; PivotTable -&gt; New Worksheet. Rows = Department. Values = Sum of Planned Budget ($), Sum of Actual Spend ($).</t>
  </si>
  <si>
    <t>Result table</t>
  </si>
  <si>
    <t>See 'Pivot Results' sheet (computed independently with pandas groupby, values match).</t>
  </si>
  <si>
    <t xml:space="preserve">  Finance</t>
  </si>
  <si>
    <t>Planned $432,667 | Actual $468,209 | Variance $35,542 | Over Budget</t>
  </si>
  <si>
    <t xml:space="preserve">  HR</t>
  </si>
  <si>
    <t>Planned $439,309 | Actual $493,937 | Variance $54,628 | Over Budget</t>
  </si>
  <si>
    <t xml:space="preserve">  IT</t>
  </si>
  <si>
    <t>Planned $427,757 | Actual $485,443 | Variance $57,686 | Over Budget</t>
  </si>
  <si>
    <t xml:space="preserve">  Logistics</t>
  </si>
  <si>
    <t>Planned $353,332 | Actual $438,863 | Variance $85,531 | Over Budget</t>
  </si>
  <si>
    <t xml:space="preserve">  Marketing</t>
  </si>
  <si>
    <t>Planned $374,352 | Actual $429,653 | Variance $55,301 | Over Budget</t>
  </si>
  <si>
    <t xml:space="preserve">  Operations</t>
  </si>
  <si>
    <t>Planned $357,993 | Actual $454,227 | Variance $96,234 | Over Budget</t>
  </si>
  <si>
    <t xml:space="preserve">  Sales</t>
  </si>
  <si>
    <t>Planned $371,246 | Actual $411,288 | Variance $40,042 | Over Budget</t>
  </si>
  <si>
    <t>Task 3: Chart - planned vs actual spend per department</t>
  </si>
  <si>
    <t>Add a chart visualising the difference between planned and actual spend per department.</t>
  </si>
  <si>
    <t>With the pivot table selected -&gt; Insert -&gt; PivotChart -&gt; Clustered Column. Category axis = Department, Series = Sum of Planned Budget ($) and Sum of Actual Spend ($).</t>
  </si>
  <si>
    <t>Clustered column chart embedded on the 'Pivot Results' sheet, built from the totals above.</t>
  </si>
  <si>
    <t>Task 4: Conditional formatting - overspend exceeds 20% of planned budget</t>
  </si>
  <si>
    <t>Highlight rows where overspend (Actual - Planned) exceeds 20% of the Planned Budget.</t>
  </si>
  <si>
    <t>Formula (CF rule, applied to $A2:$G501)</t>
  </si>
  <si>
    <t>=($E2-$D2)&gt;0.2*$D2   (equivalent to E2 &gt; 1.2*D2)</t>
  </si>
  <si>
    <t>Expense_Data (Solved)!A2:G501 - matching rows filled light red/orange.</t>
  </si>
  <si>
    <t>232 rows exceed 20% overspend (of 500 total).</t>
  </si>
  <si>
    <t>Task 5 (Optional): Data bars on Actual Spend</t>
  </si>
  <si>
    <t>Add data bars to show Actual Spend across all rows.</t>
  </si>
  <si>
    <t>Expense_Data (Solved)!E2:E501 - blue gradient data bar rule (openpyxl DataBarRule).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</si>
</sst>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 ;\-[$$-409]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0" fontId="0" fillId="0" borderId="1" xfId="1" applyNumberFormat="1" applyFont="1" applyBorder="1"/>
    <xf numFmtId="164" fontId="0" fillId="0" borderId="0" xfId="0" applyNumberFormat="1"/>
    <xf numFmtId="0" fontId="4" fillId="3" borderId="0" xfId="0" applyFont="1" applyFill="1"/>
    <xf numFmtId="0" fontId="0" fillId="3" borderId="0" xfId="0" applyFill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/>
  </cellXfs>
  <cellStyles count="2">
    <cellStyle name="Normal" xfId="0" builtinId="0"/>
    <cellStyle name="Percent" xfId="1" builtinId="5"/>
  </cellStyles>
  <dxfs count="21">
    <dxf>
      <font>
        <color rgb="FFFF0000"/>
      </font>
      <fill>
        <patternFill>
          <bgColor theme="7" tint="0.79998168889431442"/>
        </patternFill>
      </fill>
    </dxf>
    <dxf>
      <numFmt numFmtId="164" formatCode="[$$-409]#,##0.00_ ;\-[$$-409]#,##0.00\ 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Solution.xlsx]Pivot Table !Actual vs Planned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Planned</a:t>
            </a:r>
            <a:r>
              <a:rPr lang="en-IN" b="1" baseline="0"/>
              <a:t> vs Actual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83187518226889"/>
          <c:y val="0.15225779967159278"/>
          <c:w val="0.80122003499562544"/>
          <c:h val="0.75251121627037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Sum of Planned Budget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Table '!$B$4:$B$10</c:f>
              <c:numCache>
                <c:formatCode>[$$-409]#,##0.00_ ;\-[$$-409]#,##0.00\ </c:formatCode>
                <c:ptCount val="7"/>
                <c:pt idx="0">
                  <c:v>432667</c:v>
                </c:pt>
                <c:pt idx="1">
                  <c:v>439309</c:v>
                </c:pt>
                <c:pt idx="2">
                  <c:v>427757</c:v>
                </c:pt>
                <c:pt idx="3">
                  <c:v>353332</c:v>
                </c:pt>
                <c:pt idx="4">
                  <c:v>374352</c:v>
                </c:pt>
                <c:pt idx="5">
                  <c:v>357993</c:v>
                </c:pt>
                <c:pt idx="6">
                  <c:v>371246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9-412A-A1BE-7705B4A89055}"/>
            </c:ext>
          </c:extLst>
        </c:ser>
        <c:ser>
          <c:idx val="1"/>
          <c:order val="1"/>
          <c:tx>
            <c:strRef>
              <c:f>'Pivot Table '!$C$3</c:f>
              <c:strCache>
                <c:ptCount val="1"/>
                <c:pt idx="0">
                  <c:v>Sum of Actual Spend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Table '!$C$4:$C$10</c:f>
              <c:numCache>
                <c:formatCode>[$$-409]#,##0.00_ ;\-[$$-409]#,##0.00\ </c:formatCode>
                <c:ptCount val="7"/>
                <c:pt idx="0">
                  <c:v>468209</c:v>
                </c:pt>
                <c:pt idx="1">
                  <c:v>493937</c:v>
                </c:pt>
                <c:pt idx="2">
                  <c:v>485443</c:v>
                </c:pt>
                <c:pt idx="3">
                  <c:v>438863</c:v>
                </c:pt>
                <c:pt idx="4">
                  <c:v>429653</c:v>
                </c:pt>
                <c:pt idx="5">
                  <c:v>454227</c:v>
                </c:pt>
                <c:pt idx="6">
                  <c:v>411288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9-412A-A1BE-7705B4A89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38575"/>
        <c:axId val="2011380687"/>
      </c:barChart>
      <c:catAx>
        <c:axId val="4053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80687"/>
        <c:crosses val="autoZero"/>
        <c:auto val="1"/>
        <c:lblAlgn val="ctr"/>
        <c:lblOffset val="100"/>
        <c:noMultiLvlLbl val="0"/>
      </c:catAx>
      <c:valAx>
        <c:axId val="2011380687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27413240011666"/>
          <c:y val="4.9137284563567502E-2"/>
          <c:w val="0.20994808982210558"/>
          <c:h val="0.13854776773592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525780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49C81-6549-3082-840C-17160F64E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7.756145486113" createdVersion="8" refreshedVersion="8" minRefreshableVersion="3" recordCount="500" xr:uid="{C249C1F6-9FB7-4D0C-9265-E2253C306034}">
  <cacheSource type="worksheet">
    <worksheetSource name="Expense"/>
  </cacheSource>
  <cacheFields count="7">
    <cacheField name="Department" numFmtId="0">
      <sharedItems count="7">
        <s v="HR"/>
        <s v="Sales"/>
        <s v="Logistics"/>
        <s v="IT"/>
        <s v="Marketing"/>
        <s v="Operations"/>
        <s v="Finance"/>
      </sharedItems>
    </cacheField>
    <cacheField name="Category" numFmtId="0">
      <sharedItems/>
    </cacheField>
    <cacheField name="Month" numFmtId="0">
      <sharedItems/>
    </cacheField>
    <cacheField name="Planned Budget ($)" numFmtId="0">
      <sharedItems containsSemiMixedTypes="0" containsString="0" containsNumber="1" containsInteger="1" minValue="1055" maxValue="9986" count="487">
        <n v="8741"/>
        <n v="9315"/>
        <n v="5713"/>
        <n v="4220"/>
        <n v="8871"/>
        <n v="6152"/>
        <n v="9906"/>
        <n v="9187"/>
        <n v="9113"/>
        <n v="2972"/>
        <n v="4703"/>
        <n v="2819"/>
        <n v="2687"/>
        <n v="3954"/>
        <n v="1888"/>
        <n v="3935"/>
        <n v="6457"/>
        <n v="3214"/>
        <n v="6642"/>
        <n v="4614"/>
        <n v="9247"/>
        <n v="6442"/>
        <n v="6248"/>
        <n v="6425"/>
        <n v="8014"/>
        <n v="9917"/>
        <n v="4233"/>
        <n v="5695"/>
        <n v="3664"/>
        <n v="1258"/>
        <n v="9474"/>
        <n v="9453"/>
        <n v="5022"/>
        <n v="3187"/>
        <n v="5157"/>
        <n v="6167"/>
        <n v="3598"/>
        <n v="8265"/>
        <n v="2556"/>
        <n v="6507"/>
        <n v="9888"/>
        <n v="8748"/>
        <n v="1573"/>
        <n v="7863"/>
        <n v="4248"/>
        <n v="6213"/>
        <n v="8844"/>
        <n v="8654"/>
        <n v="3669"/>
        <n v="3812"/>
        <n v="3672"/>
        <n v="4800"/>
        <n v="6962"/>
        <n v="4645"/>
        <n v="6405"/>
        <n v="2393"/>
        <n v="9374"/>
        <n v="5880"/>
        <n v="2744"/>
        <n v="2488"/>
        <n v="2612"/>
        <n v="3303"/>
        <n v="2330"/>
        <n v="1538"/>
        <n v="7388"/>
        <n v="4749"/>
        <n v="6593"/>
        <n v="7024"/>
        <n v="3241"/>
        <n v="3719"/>
        <n v="7702"/>
        <n v="4486"/>
        <n v="2756"/>
        <n v="3915"/>
        <n v="7072"/>
        <n v="2200"/>
        <n v="5273"/>
        <n v="1218"/>
        <n v="2161"/>
        <n v="8194"/>
        <n v="9116"/>
        <n v="9595"/>
        <n v="1068"/>
        <n v="5069"/>
        <n v="9975"/>
        <n v="9193"/>
        <n v="7586"/>
        <n v="3579"/>
        <n v="1352"/>
        <n v="1963"/>
        <n v="4160"/>
        <n v="8651"/>
        <n v="8153"/>
        <n v="6888"/>
        <n v="5089"/>
        <n v="6400"/>
        <n v="4348"/>
        <n v="3871"/>
        <n v="2588"/>
        <n v="5419"/>
        <n v="6484"/>
        <n v="2824"/>
        <n v="3283"/>
        <n v="1385"/>
        <n v="5925"/>
        <n v="4713"/>
        <n v="9681"/>
        <n v="3056"/>
        <n v="2839"/>
        <n v="8899"/>
        <n v="4949"/>
        <n v="6496"/>
        <n v="8018"/>
        <n v="1923"/>
        <n v="1159"/>
        <n v="1952"/>
        <n v="3819"/>
        <n v="2063"/>
        <n v="1566"/>
        <n v="3485"/>
        <n v="9141"/>
        <n v="3619"/>
        <n v="1302"/>
        <n v="1816"/>
        <n v="2553"/>
        <n v="8243"/>
        <n v="6346"/>
        <n v="3615"/>
        <n v="5399"/>
        <n v="5806"/>
        <n v="1837"/>
        <n v="1585"/>
        <n v="4704"/>
        <n v="6386"/>
        <n v="7733"/>
        <n v="4382"/>
        <n v="7398"/>
        <n v="9867"/>
        <n v="8813"/>
        <n v="7276"/>
        <n v="8998"/>
        <n v="1274"/>
        <n v="5123"/>
        <n v="7064"/>
        <n v="8321"/>
        <n v="5624"/>
        <n v="3363"/>
        <n v="3860"/>
        <n v="6061"/>
        <n v="8470"/>
        <n v="6850"/>
        <n v="6963"/>
        <n v="8235"/>
        <n v="4770"/>
        <n v="6281"/>
        <n v="6818"/>
        <n v="7068"/>
        <n v="8822"/>
        <n v="3336"/>
        <n v="3291"/>
        <n v="9356"/>
        <n v="4391"/>
        <n v="1408"/>
        <n v="7553"/>
        <n v="3548"/>
        <n v="8189"/>
        <n v="3517"/>
        <n v="9821"/>
        <n v="5878"/>
        <n v="9986"/>
        <n v="1973"/>
        <n v="5981"/>
        <n v="9540"/>
        <n v="6631"/>
        <n v="3737"/>
        <n v="4941"/>
        <n v="7569"/>
        <n v="8282"/>
        <n v="5707"/>
        <n v="9793"/>
        <n v="5682"/>
        <n v="6208"/>
        <n v="2120"/>
        <n v="7404"/>
        <n v="8616"/>
        <n v="7610"/>
        <n v="8538"/>
        <n v="2560"/>
        <n v="1505"/>
        <n v="8673"/>
        <n v="6222"/>
        <n v="4392"/>
        <n v="9217"/>
        <n v="5890"/>
        <n v="5854"/>
        <n v="8987"/>
        <n v="5671"/>
        <n v="7645"/>
        <n v="4069"/>
        <n v="9969"/>
        <n v="8571"/>
        <n v="2317"/>
        <n v="6392"/>
        <n v="4259"/>
        <n v="8774"/>
        <n v="1581"/>
        <n v="1411"/>
        <n v="2510"/>
        <n v="3999"/>
        <n v="3437"/>
        <n v="2037"/>
        <n v="4731"/>
        <n v="4308"/>
        <n v="4627"/>
        <n v="6862"/>
        <n v="7844"/>
        <n v="2516"/>
        <n v="1092"/>
        <n v="8416"/>
        <n v="2566"/>
        <n v="2370"/>
        <n v="3482"/>
        <n v="3696"/>
        <n v="3146"/>
        <n v="5311"/>
        <n v="6783"/>
        <n v="3051"/>
        <n v="7063"/>
        <n v="1725"/>
        <n v="5794"/>
        <n v="9028"/>
        <n v="8956"/>
        <n v="9697"/>
        <n v="5137"/>
        <n v="5909"/>
        <n v="4461"/>
        <n v="5403"/>
        <n v="4296"/>
        <n v="4887"/>
        <n v="7503"/>
        <n v="4565"/>
        <n v="7684"/>
        <n v="7222"/>
        <n v="4850"/>
        <n v="9903"/>
        <n v="8977"/>
        <n v="5480"/>
        <n v="5162"/>
        <n v="1988"/>
        <n v="8505"/>
        <n v="8322"/>
        <n v="5889"/>
        <n v="3770"/>
        <n v="5971"/>
        <n v="8040"/>
        <n v="6994"/>
        <n v="5914"/>
        <n v="3620"/>
        <n v="7143"/>
        <n v="9061"/>
        <n v="7272"/>
        <n v="1144"/>
        <n v="1574"/>
        <n v="2273"/>
        <n v="6168"/>
        <n v="4358"/>
        <n v="4347"/>
        <n v="7245"/>
        <n v="4638"/>
        <n v="9234"/>
        <n v="5092"/>
        <n v="2595"/>
        <n v="4919"/>
        <n v="8499"/>
        <n v="5447"/>
        <n v="7438"/>
        <n v="7425"/>
        <n v="2187"/>
        <n v="7166"/>
        <n v="4089"/>
        <n v="6958"/>
        <n v="4206"/>
        <n v="7470"/>
        <n v="3486"/>
        <n v="3380"/>
        <n v="7076"/>
        <n v="7142"/>
        <n v="4696"/>
        <n v="1982"/>
        <n v="9021"/>
        <n v="9394"/>
        <n v="5689"/>
        <n v="9149"/>
        <n v="3361"/>
        <n v="5020"/>
        <n v="1954"/>
        <n v="6913"/>
        <n v="6517"/>
        <n v="1265"/>
        <n v="8440"/>
        <n v="4695"/>
        <n v="1201"/>
        <n v="6342"/>
        <n v="2290"/>
        <n v="2009"/>
        <n v="1128"/>
        <n v="6923"/>
        <n v="6466"/>
        <n v="4810"/>
        <n v="7504"/>
        <n v="5453"/>
        <n v="5260"/>
        <n v="2631"/>
        <n v="9503"/>
        <n v="4136"/>
        <n v="2551"/>
        <n v="8398"/>
        <n v="2378"/>
        <n v="6800"/>
        <n v="6741"/>
        <n v="4869"/>
        <n v="7794"/>
        <n v="6725"/>
        <n v="7253"/>
        <n v="4402"/>
        <n v="5653"/>
        <n v="4482"/>
        <n v="7993"/>
        <n v="7206"/>
        <n v="3716"/>
        <n v="9273"/>
        <n v="4778"/>
        <n v="7568"/>
        <n v="2025"/>
        <n v="2779"/>
        <n v="3275"/>
        <n v="8907"/>
        <n v="1223"/>
        <n v="6720"/>
        <n v="6063"/>
        <n v="8814"/>
        <n v="4954"/>
        <n v="6124"/>
        <n v="7464"/>
        <n v="1530"/>
        <n v="5043"/>
        <n v="5212"/>
        <n v="5263"/>
        <n v="2761"/>
        <n v="9834"/>
        <n v="5131"/>
        <n v="8699"/>
        <n v="6761"/>
        <n v="6598"/>
        <n v="9414"/>
        <n v="6959"/>
        <n v="5843"/>
        <n v="9347"/>
        <n v="1986"/>
        <n v="9305"/>
        <n v="3396"/>
        <n v="8334"/>
        <n v="6860"/>
        <n v="1074"/>
        <n v="9798"/>
        <n v="2247"/>
        <n v="7041"/>
        <n v="4141"/>
        <n v="5574"/>
        <n v="4501"/>
        <n v="7364"/>
        <n v="4512"/>
        <n v="4578"/>
        <n v="8709"/>
        <n v="3364"/>
        <n v="2367"/>
        <n v="3071"/>
        <n v="4497"/>
        <n v="1322"/>
        <n v="4410"/>
        <n v="6712"/>
        <n v="8485"/>
        <n v="7732"/>
        <n v="3159"/>
        <n v="4336"/>
        <n v="3184"/>
        <n v="4494"/>
        <n v="8721"/>
        <n v="9237"/>
        <n v="4808"/>
        <n v="9600"/>
        <n v="8701"/>
        <n v="1394"/>
        <n v="1146"/>
        <n v="3150"/>
        <n v="1765"/>
        <n v="3131"/>
        <n v="6008"/>
        <n v="8732"/>
        <n v="1593"/>
        <n v="1834"/>
        <n v="3112"/>
        <n v="3309"/>
        <n v="6369"/>
        <n v="5681"/>
        <n v="2843"/>
        <n v="8661"/>
        <n v="5788"/>
        <n v="9496"/>
        <n v="5345"/>
        <n v="8724"/>
        <n v="4820"/>
        <n v="1143"/>
        <n v="9391"/>
        <n v="8746"/>
        <n v="1425"/>
        <n v="6268"/>
        <n v="2613"/>
        <n v="9095"/>
        <n v="9669"/>
        <n v="5163"/>
        <n v="6831"/>
        <n v="1781"/>
        <n v="9572"/>
        <n v="9038"/>
        <n v="6317"/>
        <n v="7932"/>
        <n v="9871"/>
        <n v="2475"/>
        <n v="5429"/>
        <n v="5589"/>
        <n v="2318"/>
        <n v="4450"/>
        <n v="5464"/>
        <n v="6383"/>
        <n v="3171"/>
        <n v="8152"/>
        <n v="2007"/>
        <n v="1084"/>
        <n v="3210"/>
        <n v="1501"/>
        <n v="4246"/>
        <n v="8281"/>
        <n v="7758"/>
        <n v="3058"/>
        <n v="5798"/>
        <n v="5827"/>
        <n v="1353"/>
        <n v="7071"/>
        <n v="6269"/>
        <n v="8006"/>
        <n v="6914"/>
        <n v="1957"/>
        <n v="6803"/>
        <n v="8063"/>
        <n v="7332"/>
        <n v="7955"/>
        <n v="7477"/>
        <n v="1696"/>
        <n v="6900"/>
        <n v="6130"/>
        <n v="8178"/>
        <n v="3994"/>
        <n v="6107"/>
        <n v="7651"/>
        <n v="8276"/>
        <n v="2705"/>
        <n v="1579"/>
        <n v="7507"/>
        <n v="1308"/>
        <n v="5888"/>
        <n v="2573"/>
        <n v="9654"/>
        <n v="8458"/>
        <n v="6875"/>
        <n v="8199"/>
        <n v="3506"/>
        <n v="8504"/>
        <n v="4924"/>
        <n v="8293"/>
        <n v="2366"/>
        <n v="1055"/>
        <n v="5784"/>
        <n v="8638"/>
        <n v="5719"/>
        <n v="8122"/>
        <n v="9498"/>
      </sharedItems>
    </cacheField>
    <cacheField name="Actual Spend ($)" numFmtId="0">
      <sharedItems containsSemiMixedTypes="0" containsString="0" containsNumber="1" containsInteger="1" minValue="807" maxValue="11868"/>
    </cacheField>
    <cacheField name="Notes" numFmtId="0">
      <sharedItems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Travel"/>
    <s v="October"/>
    <x v="0"/>
    <n v="11391"/>
    <s v="NA"/>
    <s v="Over Budget"/>
  </r>
  <r>
    <x v="1"/>
    <s v="Supplies"/>
    <s v="May"/>
    <x v="1"/>
    <n v="2115"/>
    <s v="Urgent need"/>
    <s v="On Budget"/>
  </r>
  <r>
    <x v="2"/>
    <s v="Supplies"/>
    <s v="July"/>
    <x v="2"/>
    <n v="2833"/>
    <s v="Overspend"/>
    <s v="On Budget"/>
  </r>
  <r>
    <x v="3"/>
    <s v="Travel"/>
    <s v="September"/>
    <x v="3"/>
    <n v="1659"/>
    <s v="Urgent need"/>
    <s v="On Budget"/>
  </r>
  <r>
    <x v="3"/>
    <s v="Supplies"/>
    <s v="February"/>
    <x v="4"/>
    <n v="9947"/>
    <s v="Delayed approval"/>
    <s v="Over Budget"/>
  </r>
  <r>
    <x v="0"/>
    <s v="Travel"/>
    <s v="August"/>
    <x v="5"/>
    <n v="5026"/>
    <s v="Delayed approval"/>
    <s v="On Budget"/>
  </r>
  <r>
    <x v="1"/>
    <s v="Supplies"/>
    <s v="November"/>
    <x v="6"/>
    <n v="4649"/>
    <s v="Delayed approval"/>
    <s v="On Budget"/>
  </r>
  <r>
    <x v="2"/>
    <s v="Travel"/>
    <s v="October"/>
    <x v="7"/>
    <n v="4834"/>
    <s v="NA"/>
    <s v="On Budget"/>
  </r>
  <r>
    <x v="4"/>
    <s v="Training"/>
    <s v="December"/>
    <x v="8"/>
    <n v="3132"/>
    <s v="Delayed approval"/>
    <s v="On Budget"/>
  </r>
  <r>
    <x v="1"/>
    <s v="Consulting"/>
    <s v="June"/>
    <x v="9"/>
    <n v="8038"/>
    <s v="Urgent need"/>
    <s v="Over Budget"/>
  </r>
  <r>
    <x v="2"/>
    <s v="Travel"/>
    <s v="November"/>
    <x v="10"/>
    <n v="2005"/>
    <s v="Urgent need"/>
    <s v="On Budget"/>
  </r>
  <r>
    <x v="5"/>
    <s v="Consulting"/>
    <s v="September"/>
    <x v="11"/>
    <n v="2626"/>
    <s v="Overspend"/>
    <s v="On Budget"/>
  </r>
  <r>
    <x v="5"/>
    <s v="Software"/>
    <s v="July"/>
    <x v="12"/>
    <n v="2320"/>
    <s v="NA"/>
    <s v="On Budget"/>
  </r>
  <r>
    <x v="4"/>
    <s v="Consulting"/>
    <s v="February"/>
    <x v="13"/>
    <n v="11660"/>
    <s v="NA"/>
    <s v="Over Budget"/>
  </r>
  <r>
    <x v="2"/>
    <s v="Consulting"/>
    <s v="January"/>
    <x v="14"/>
    <n v="2168"/>
    <s v="Refund expected"/>
    <s v="Over Budget"/>
  </r>
  <r>
    <x v="0"/>
    <s v="Training"/>
    <s v="August"/>
    <x v="15"/>
    <n v="9025"/>
    <s v="Delayed approval"/>
    <s v="Over Budget"/>
  </r>
  <r>
    <x v="4"/>
    <s v="Software"/>
    <s v="January"/>
    <x v="16"/>
    <n v="11471"/>
    <s v="Refund expected"/>
    <s v="Over Budget"/>
  </r>
  <r>
    <x v="0"/>
    <s v="Travel"/>
    <s v="August"/>
    <x v="17"/>
    <n v="7585"/>
    <s v="NA"/>
    <s v="Over Budget"/>
  </r>
  <r>
    <x v="4"/>
    <s v="Software"/>
    <s v="January"/>
    <x v="18"/>
    <n v="1610"/>
    <s v="Urgent need"/>
    <s v="On Budget"/>
  </r>
  <r>
    <x v="3"/>
    <s v="Travel"/>
    <s v="December"/>
    <x v="19"/>
    <n v="5264"/>
    <s v="Urgent need"/>
    <s v="Over Budget"/>
  </r>
  <r>
    <x v="5"/>
    <s v="Supplies"/>
    <s v="December"/>
    <x v="20"/>
    <n v="6873"/>
    <s v="Overspend"/>
    <s v="On Budget"/>
  </r>
  <r>
    <x v="2"/>
    <s v="Equipment"/>
    <s v="April"/>
    <x v="21"/>
    <n v="5190"/>
    <s v="NA"/>
    <s v="On Budget"/>
  </r>
  <r>
    <x v="3"/>
    <s v="Equipment"/>
    <s v="November"/>
    <x v="22"/>
    <n v="4567"/>
    <s v="Urgent need"/>
    <s v="On Budget"/>
  </r>
  <r>
    <x v="0"/>
    <s v="Supplies"/>
    <s v="January"/>
    <x v="23"/>
    <n v="4047"/>
    <s v="Overspend"/>
    <s v="On Budget"/>
  </r>
  <r>
    <x v="0"/>
    <s v="Travel"/>
    <s v="May"/>
    <x v="24"/>
    <n v="10039"/>
    <s v="Delayed approval"/>
    <s v="Over Budget"/>
  </r>
  <r>
    <x v="6"/>
    <s v="Supplies"/>
    <s v="January"/>
    <x v="25"/>
    <n v="7431"/>
    <s v="Refund expected"/>
    <s v="On Budget"/>
  </r>
  <r>
    <x v="4"/>
    <s v="Consulting"/>
    <s v="December"/>
    <x v="26"/>
    <n v="11353"/>
    <s v="Delayed approval"/>
    <s v="Over Budget"/>
  </r>
  <r>
    <x v="4"/>
    <s v="Consulting"/>
    <s v="September"/>
    <x v="27"/>
    <n v="10306"/>
    <s v="Refund expected"/>
    <s v="Over Budget"/>
  </r>
  <r>
    <x v="6"/>
    <s v="Software"/>
    <s v="July"/>
    <x v="28"/>
    <n v="8157"/>
    <s v="Urgent need"/>
    <s v="Over Budget"/>
  </r>
  <r>
    <x v="4"/>
    <s v="Supplies"/>
    <s v="March"/>
    <x v="29"/>
    <n v="11395"/>
    <s v="Overspend"/>
    <s v="Over Budget"/>
  </r>
  <r>
    <x v="3"/>
    <s v="Travel"/>
    <s v="July"/>
    <x v="30"/>
    <n v="6425"/>
    <s v="Delayed approval"/>
    <s v="On Budget"/>
  </r>
  <r>
    <x v="6"/>
    <s v="Travel"/>
    <s v="March"/>
    <x v="31"/>
    <n v="3473"/>
    <s v="Delayed approval"/>
    <s v="On Budget"/>
  </r>
  <r>
    <x v="4"/>
    <s v="Supplies"/>
    <s v="January"/>
    <x v="32"/>
    <n v="7324"/>
    <s v="Urgent need"/>
    <s v="Over Budget"/>
  </r>
  <r>
    <x v="5"/>
    <s v="Events"/>
    <s v="February"/>
    <x v="33"/>
    <n v="2004"/>
    <s v="Overspend"/>
    <s v="On Budget"/>
  </r>
  <r>
    <x v="4"/>
    <s v="Equipment"/>
    <s v="July"/>
    <x v="34"/>
    <n v="9013"/>
    <s v="Refund expected"/>
    <s v="Over Budget"/>
  </r>
  <r>
    <x v="1"/>
    <s v="Consulting"/>
    <s v="May"/>
    <x v="35"/>
    <n v="10425"/>
    <s v="Overspend"/>
    <s v="Over Budget"/>
  </r>
  <r>
    <x v="2"/>
    <s v="Software"/>
    <s v="October"/>
    <x v="36"/>
    <n v="6920"/>
    <s v="NA"/>
    <s v="Over Budget"/>
  </r>
  <r>
    <x v="2"/>
    <s v="Events"/>
    <s v="May"/>
    <x v="37"/>
    <n v="11479"/>
    <s v="Delayed approval"/>
    <s v="Over Budget"/>
  </r>
  <r>
    <x v="0"/>
    <s v="Training"/>
    <s v="February"/>
    <x v="38"/>
    <n v="5661"/>
    <s v="Urgent need"/>
    <s v="Over Budget"/>
  </r>
  <r>
    <x v="2"/>
    <s v="Equipment"/>
    <s v="August"/>
    <x v="39"/>
    <n v="6605"/>
    <s v="Urgent need"/>
    <s v="Over Budget"/>
  </r>
  <r>
    <x v="1"/>
    <s v="Training"/>
    <s v="July"/>
    <x v="40"/>
    <n v="1961"/>
    <s v="Urgent need"/>
    <s v="On Budget"/>
  </r>
  <r>
    <x v="3"/>
    <s v="Travel"/>
    <s v="March"/>
    <x v="41"/>
    <n v="2688"/>
    <s v="NA"/>
    <s v="On Budget"/>
  </r>
  <r>
    <x v="3"/>
    <s v="Consulting"/>
    <s v="August"/>
    <x v="42"/>
    <n v="11206"/>
    <s v="Overspend"/>
    <s v="Over Budget"/>
  </r>
  <r>
    <x v="4"/>
    <s v="Equipment"/>
    <s v="January"/>
    <x v="43"/>
    <n v="4970"/>
    <s v="Delayed approval"/>
    <s v="On Budget"/>
  </r>
  <r>
    <x v="3"/>
    <s v="Consulting"/>
    <s v="February"/>
    <x v="44"/>
    <n v="5503"/>
    <s v="Delayed approval"/>
    <s v="Over Budget"/>
  </r>
  <r>
    <x v="4"/>
    <s v="Events"/>
    <s v="August"/>
    <x v="45"/>
    <n v="10730"/>
    <s v="NA"/>
    <s v="Over Budget"/>
  </r>
  <r>
    <x v="1"/>
    <s v="Events"/>
    <s v="August"/>
    <x v="46"/>
    <n v="5430"/>
    <s v="NA"/>
    <s v="On Budget"/>
  </r>
  <r>
    <x v="4"/>
    <s v="Travel"/>
    <s v="March"/>
    <x v="47"/>
    <n v="10484"/>
    <s v="Urgent need"/>
    <s v="Over Budget"/>
  </r>
  <r>
    <x v="4"/>
    <s v="Events"/>
    <s v="April"/>
    <x v="48"/>
    <n v="5897"/>
    <s v="Overspend"/>
    <s v="Over Budget"/>
  </r>
  <r>
    <x v="2"/>
    <s v="Training"/>
    <s v="January"/>
    <x v="49"/>
    <n v="9459"/>
    <s v="NA"/>
    <s v="Over Budget"/>
  </r>
  <r>
    <x v="6"/>
    <s v="Equipment"/>
    <s v="January"/>
    <x v="50"/>
    <n v="10813"/>
    <s v="Overspend"/>
    <s v="Over Budget"/>
  </r>
  <r>
    <x v="0"/>
    <s v="Consulting"/>
    <s v="June"/>
    <x v="51"/>
    <n v="4433"/>
    <s v="Delayed approval"/>
    <s v="On Budget"/>
  </r>
  <r>
    <x v="0"/>
    <s v="Consulting"/>
    <s v="October"/>
    <x v="52"/>
    <n v="3401"/>
    <s v="Delayed approval"/>
    <s v="On Budget"/>
  </r>
  <r>
    <x v="0"/>
    <s v="Supplies"/>
    <s v="October"/>
    <x v="53"/>
    <n v="3612"/>
    <s v="Delayed approval"/>
    <s v="On Budget"/>
  </r>
  <r>
    <x v="5"/>
    <s v="Training"/>
    <s v="September"/>
    <x v="54"/>
    <n v="10615"/>
    <s v="Refund expected"/>
    <s v="Over Budget"/>
  </r>
  <r>
    <x v="1"/>
    <s v="Software"/>
    <s v="January"/>
    <x v="55"/>
    <n v="11340"/>
    <s v="Urgent need"/>
    <s v="Over Budget"/>
  </r>
  <r>
    <x v="3"/>
    <s v="Equipment"/>
    <s v="October"/>
    <x v="56"/>
    <n v="5960"/>
    <s v="NA"/>
    <s v="On Budget"/>
  </r>
  <r>
    <x v="4"/>
    <s v="Supplies"/>
    <s v="February"/>
    <x v="57"/>
    <n v="1718"/>
    <s v="Urgent need"/>
    <s v="On Budget"/>
  </r>
  <r>
    <x v="6"/>
    <s v="Supplies"/>
    <s v="May"/>
    <x v="58"/>
    <n v="8892"/>
    <s v="NA"/>
    <s v="Over Budget"/>
  </r>
  <r>
    <x v="0"/>
    <s v="Travel"/>
    <s v="January"/>
    <x v="59"/>
    <n v="6069"/>
    <s v="Refund expected"/>
    <s v="Over Budget"/>
  </r>
  <r>
    <x v="4"/>
    <s v="Equipment"/>
    <s v="November"/>
    <x v="60"/>
    <n v="10393"/>
    <s v="Refund expected"/>
    <s v="Over Budget"/>
  </r>
  <r>
    <x v="6"/>
    <s v="Supplies"/>
    <s v="November"/>
    <x v="61"/>
    <n v="10146"/>
    <s v="Refund expected"/>
    <s v="Over Budget"/>
  </r>
  <r>
    <x v="0"/>
    <s v="Software"/>
    <s v="October"/>
    <x v="62"/>
    <n v="10226"/>
    <s v="Overspend"/>
    <s v="Over Budget"/>
  </r>
  <r>
    <x v="3"/>
    <s v="Travel"/>
    <s v="April"/>
    <x v="63"/>
    <n v="10463"/>
    <s v="Refund expected"/>
    <s v="Over Budget"/>
  </r>
  <r>
    <x v="1"/>
    <s v="Equipment"/>
    <s v="March"/>
    <x v="64"/>
    <n v="3895"/>
    <s v="NA"/>
    <s v="On Budget"/>
  </r>
  <r>
    <x v="3"/>
    <s v="Travel"/>
    <s v="April"/>
    <x v="65"/>
    <n v="5160"/>
    <s v="Refund expected"/>
    <s v="Over Budget"/>
  </r>
  <r>
    <x v="3"/>
    <s v="Training"/>
    <s v="June"/>
    <x v="66"/>
    <n v="3100"/>
    <s v="Overspend"/>
    <s v="On Budget"/>
  </r>
  <r>
    <x v="3"/>
    <s v="Consulting"/>
    <s v="March"/>
    <x v="67"/>
    <n v="6381"/>
    <s v="Overspend"/>
    <s v="On Budget"/>
  </r>
  <r>
    <x v="1"/>
    <s v="Equipment"/>
    <s v="January"/>
    <x v="68"/>
    <n v="8302"/>
    <s v="Refund expected"/>
    <s v="Over Budget"/>
  </r>
  <r>
    <x v="3"/>
    <s v="Equipment"/>
    <s v="September"/>
    <x v="69"/>
    <n v="1349"/>
    <s v="Urgent need"/>
    <s v="On Budget"/>
  </r>
  <r>
    <x v="3"/>
    <s v="Events"/>
    <s v="July"/>
    <x v="70"/>
    <n v="3259"/>
    <s v="Urgent need"/>
    <s v="On Budget"/>
  </r>
  <r>
    <x v="0"/>
    <s v="Travel"/>
    <s v="December"/>
    <x v="71"/>
    <n v="8723"/>
    <s v="Refund expected"/>
    <s v="Over Budget"/>
  </r>
  <r>
    <x v="3"/>
    <s v="Equipment"/>
    <s v="July"/>
    <x v="72"/>
    <n v="4840"/>
    <s v="NA"/>
    <s v="Over Budget"/>
  </r>
  <r>
    <x v="1"/>
    <s v="Consulting"/>
    <s v="January"/>
    <x v="73"/>
    <n v="11085"/>
    <s v="Delayed approval"/>
    <s v="Over Budget"/>
  </r>
  <r>
    <x v="3"/>
    <s v="Consulting"/>
    <s v="June"/>
    <x v="74"/>
    <n v="4524"/>
    <s v="Refund expected"/>
    <s v="On Budget"/>
  </r>
  <r>
    <x v="2"/>
    <s v="Consulting"/>
    <s v="December"/>
    <x v="75"/>
    <n v="8995"/>
    <s v="Urgent need"/>
    <s v="Over Budget"/>
  </r>
  <r>
    <x v="1"/>
    <s v="Travel"/>
    <s v="February"/>
    <x v="76"/>
    <n v="3315"/>
    <s v="Delayed approval"/>
    <s v="On Budget"/>
  </r>
  <r>
    <x v="6"/>
    <s v="Travel"/>
    <s v="March"/>
    <x v="77"/>
    <n v="8660"/>
    <s v="Urgent need"/>
    <s v="Over Budget"/>
  </r>
  <r>
    <x v="1"/>
    <s v="Supplies"/>
    <s v="August"/>
    <x v="78"/>
    <n v="1888"/>
    <s v="Urgent need"/>
    <s v="On Budget"/>
  </r>
  <r>
    <x v="6"/>
    <s v="Training"/>
    <s v="April"/>
    <x v="79"/>
    <n v="4751"/>
    <s v="Refund expected"/>
    <s v="On Budget"/>
  </r>
  <r>
    <x v="1"/>
    <s v="Events"/>
    <s v="November"/>
    <x v="80"/>
    <n v="5223"/>
    <s v="NA"/>
    <s v="On Budget"/>
  </r>
  <r>
    <x v="5"/>
    <s v="Travel"/>
    <s v="March"/>
    <x v="81"/>
    <n v="6007"/>
    <s v="Urgent need"/>
    <s v="On Budget"/>
  </r>
  <r>
    <x v="3"/>
    <s v="Consulting"/>
    <s v="November"/>
    <x v="82"/>
    <n v="1998"/>
    <s v="NA"/>
    <s v="Over Budget"/>
  </r>
  <r>
    <x v="5"/>
    <s v="Events"/>
    <s v="February"/>
    <x v="83"/>
    <n v="7674"/>
    <s v="Delayed approval"/>
    <s v="Over Budget"/>
  </r>
  <r>
    <x v="5"/>
    <s v="Supplies"/>
    <s v="July"/>
    <x v="84"/>
    <n v="9853"/>
    <s v="Overspend"/>
    <s v="On Budget"/>
  </r>
  <r>
    <x v="6"/>
    <s v="Training"/>
    <s v="November"/>
    <x v="85"/>
    <n v="6411"/>
    <s v="Delayed approval"/>
    <s v="On Budget"/>
  </r>
  <r>
    <x v="3"/>
    <s v="Consulting"/>
    <s v="October"/>
    <x v="86"/>
    <n v="6534"/>
    <s v="Urgent need"/>
    <s v="On Budget"/>
  </r>
  <r>
    <x v="3"/>
    <s v="Software"/>
    <s v="November"/>
    <x v="87"/>
    <n v="4310"/>
    <s v="Urgent need"/>
    <s v="Over Budget"/>
  </r>
  <r>
    <x v="5"/>
    <s v="Training"/>
    <s v="June"/>
    <x v="88"/>
    <n v="10883"/>
    <s v="NA"/>
    <s v="Over Budget"/>
  </r>
  <r>
    <x v="4"/>
    <s v="Software"/>
    <s v="August"/>
    <x v="89"/>
    <n v="1130"/>
    <s v="Refund expected"/>
    <s v="On Budget"/>
  </r>
  <r>
    <x v="0"/>
    <s v="Consulting"/>
    <s v="November"/>
    <x v="90"/>
    <n v="8610"/>
    <s v="Delayed approval"/>
    <s v="Over Budget"/>
  </r>
  <r>
    <x v="6"/>
    <s v="Software"/>
    <s v="September"/>
    <x v="91"/>
    <n v="9566"/>
    <s v="NA"/>
    <s v="Over Budget"/>
  </r>
  <r>
    <x v="3"/>
    <s v="Software"/>
    <s v="September"/>
    <x v="92"/>
    <n v="4754"/>
    <s v="Delayed approval"/>
    <s v="On Budget"/>
  </r>
  <r>
    <x v="1"/>
    <s v="Equipment"/>
    <s v="September"/>
    <x v="93"/>
    <n v="3991"/>
    <s v="Urgent need"/>
    <s v="On Budget"/>
  </r>
  <r>
    <x v="1"/>
    <s v="Supplies"/>
    <s v="September"/>
    <x v="94"/>
    <n v="7252"/>
    <s v="Urgent need"/>
    <s v="Over Budget"/>
  </r>
  <r>
    <x v="0"/>
    <s v="Training"/>
    <s v="October"/>
    <x v="95"/>
    <n v="11481"/>
    <s v="Overspend"/>
    <s v="Over Budget"/>
  </r>
  <r>
    <x v="3"/>
    <s v="Equipment"/>
    <s v="October"/>
    <x v="96"/>
    <n v="8465"/>
    <s v="NA"/>
    <s v="Over Budget"/>
  </r>
  <r>
    <x v="2"/>
    <s v="Events"/>
    <s v="November"/>
    <x v="97"/>
    <n v="2944"/>
    <s v="Refund expected"/>
    <s v="On Budget"/>
  </r>
  <r>
    <x v="2"/>
    <s v="Travel"/>
    <s v="September"/>
    <x v="98"/>
    <n v="6655"/>
    <s v="Overspend"/>
    <s v="Over Budget"/>
  </r>
  <r>
    <x v="0"/>
    <s v="Training"/>
    <s v="October"/>
    <x v="99"/>
    <n v="10036"/>
    <s v="Overspend"/>
    <s v="Over Budget"/>
  </r>
  <r>
    <x v="0"/>
    <s v="Software"/>
    <s v="April"/>
    <x v="100"/>
    <n v="11321"/>
    <s v="Overspend"/>
    <s v="Over Budget"/>
  </r>
  <r>
    <x v="6"/>
    <s v="Equipment"/>
    <s v="November"/>
    <x v="101"/>
    <n v="4259"/>
    <s v="Refund expected"/>
    <s v="Over Budget"/>
  </r>
  <r>
    <x v="0"/>
    <s v="Consulting"/>
    <s v="February"/>
    <x v="102"/>
    <n v="2284"/>
    <s v="Refund expected"/>
    <s v="On Budget"/>
  </r>
  <r>
    <x v="3"/>
    <s v="Training"/>
    <s v="November"/>
    <x v="103"/>
    <n v="3043"/>
    <s v="Refund expected"/>
    <s v="Over Budget"/>
  </r>
  <r>
    <x v="3"/>
    <s v="Equipment"/>
    <s v="November"/>
    <x v="104"/>
    <n v="1611"/>
    <s v="Overspend"/>
    <s v="On Budget"/>
  </r>
  <r>
    <x v="4"/>
    <s v="Travel"/>
    <s v="January"/>
    <x v="105"/>
    <n v="1374"/>
    <s v="NA"/>
    <s v="On Budget"/>
  </r>
  <r>
    <x v="0"/>
    <s v="Equipment"/>
    <s v="December"/>
    <x v="106"/>
    <n v="11376"/>
    <s v="Overspend"/>
    <s v="Over Budget"/>
  </r>
  <r>
    <x v="3"/>
    <s v="Supplies"/>
    <s v="February"/>
    <x v="107"/>
    <n v="9707"/>
    <s v="Refund expected"/>
    <s v="Over Budget"/>
  </r>
  <r>
    <x v="4"/>
    <s v="Supplies"/>
    <s v="September"/>
    <x v="108"/>
    <n v="831"/>
    <s v="Urgent need"/>
    <s v="On Budget"/>
  </r>
  <r>
    <x v="5"/>
    <s v="Training"/>
    <s v="December"/>
    <x v="109"/>
    <n v="10544"/>
    <s v="Delayed approval"/>
    <s v="Over Budget"/>
  </r>
  <r>
    <x v="5"/>
    <s v="Events"/>
    <s v="January"/>
    <x v="110"/>
    <n v="9798"/>
    <s v="Urgent need"/>
    <s v="Over Budget"/>
  </r>
  <r>
    <x v="2"/>
    <s v="Software"/>
    <s v="October"/>
    <x v="111"/>
    <n v="6564"/>
    <s v="Urgent need"/>
    <s v="Over Budget"/>
  </r>
  <r>
    <x v="3"/>
    <s v="Equipment"/>
    <s v="September"/>
    <x v="112"/>
    <n v="10019"/>
    <s v="Overspend"/>
    <s v="Over Budget"/>
  </r>
  <r>
    <x v="6"/>
    <s v="Travel"/>
    <s v="August"/>
    <x v="113"/>
    <n v="3834"/>
    <s v="NA"/>
    <s v="Over Budget"/>
  </r>
  <r>
    <x v="5"/>
    <s v="Travel"/>
    <s v="May"/>
    <x v="114"/>
    <n v="9243"/>
    <s v="Urgent need"/>
    <s v="Over Budget"/>
  </r>
  <r>
    <x v="3"/>
    <s v="Consulting"/>
    <s v="May"/>
    <x v="115"/>
    <n v="1646"/>
    <s v="Delayed approval"/>
    <s v="On Budget"/>
  </r>
  <r>
    <x v="6"/>
    <s v="Travel"/>
    <s v="January"/>
    <x v="116"/>
    <n v="4948"/>
    <s v="Urgent need"/>
    <s v="Over Budget"/>
  </r>
  <r>
    <x v="0"/>
    <s v="Supplies"/>
    <s v="June"/>
    <x v="117"/>
    <n v="6424"/>
    <s v="Delayed approval"/>
    <s v="Over Budget"/>
  </r>
  <r>
    <x v="0"/>
    <s v="Software"/>
    <s v="November"/>
    <x v="118"/>
    <n v="6043"/>
    <s v="Delayed approval"/>
    <s v="Over Budget"/>
  </r>
  <r>
    <x v="6"/>
    <s v="Equipment"/>
    <s v="April"/>
    <x v="119"/>
    <n v="2227"/>
    <s v="Delayed approval"/>
    <s v="On Budget"/>
  </r>
  <r>
    <x v="4"/>
    <s v="Software"/>
    <s v="April"/>
    <x v="120"/>
    <n v="10040"/>
    <s v="Refund expected"/>
    <s v="Over Budget"/>
  </r>
  <r>
    <x v="2"/>
    <s v="Supplies"/>
    <s v="July"/>
    <x v="121"/>
    <n v="6866"/>
    <s v="Overspend"/>
    <s v="Over Budget"/>
  </r>
  <r>
    <x v="2"/>
    <s v="Equipment"/>
    <s v="February"/>
    <x v="122"/>
    <n v="10929"/>
    <s v="Refund expected"/>
    <s v="Over Budget"/>
  </r>
  <r>
    <x v="6"/>
    <s v="Equipment"/>
    <s v="February"/>
    <x v="123"/>
    <n v="3942"/>
    <s v="Urgent need"/>
    <s v="Over Budget"/>
  </r>
  <r>
    <x v="2"/>
    <s v="Supplies"/>
    <s v="June"/>
    <x v="124"/>
    <n v="3881"/>
    <s v="Urgent need"/>
    <s v="Over Budget"/>
  </r>
  <r>
    <x v="6"/>
    <s v="Travel"/>
    <s v="March"/>
    <x v="125"/>
    <n v="10125"/>
    <s v="Urgent need"/>
    <s v="Over Budget"/>
  </r>
  <r>
    <x v="0"/>
    <s v="Training"/>
    <s v="January"/>
    <x v="126"/>
    <n v="6459"/>
    <s v="Delayed approval"/>
    <s v="Over Budget"/>
  </r>
  <r>
    <x v="3"/>
    <s v="Consulting"/>
    <s v="June"/>
    <x v="127"/>
    <n v="3735"/>
    <s v="Delayed approval"/>
    <s v="Over Budget"/>
  </r>
  <r>
    <x v="1"/>
    <s v="Software"/>
    <s v="January"/>
    <x v="128"/>
    <n v="6127"/>
    <s v="NA"/>
    <s v="Over Budget"/>
  </r>
  <r>
    <x v="5"/>
    <s v="Supplies"/>
    <s v="April"/>
    <x v="129"/>
    <n v="2415"/>
    <s v="Overspend"/>
    <s v="On Budget"/>
  </r>
  <r>
    <x v="6"/>
    <s v="Supplies"/>
    <s v="May"/>
    <x v="130"/>
    <n v="7341"/>
    <s v="Delayed approval"/>
    <s v="Over Budget"/>
  </r>
  <r>
    <x v="0"/>
    <s v="Consulting"/>
    <s v="November"/>
    <x v="131"/>
    <n v="8036"/>
    <s v="Delayed approval"/>
    <s v="Over Budget"/>
  </r>
  <r>
    <x v="0"/>
    <s v="Consulting"/>
    <s v="February"/>
    <x v="132"/>
    <n v="1099"/>
    <s v="Urgent need"/>
    <s v="On Budget"/>
  </r>
  <r>
    <x v="1"/>
    <s v="Consulting"/>
    <s v="April"/>
    <x v="133"/>
    <n v="6028"/>
    <s v="Delayed approval"/>
    <s v="On Budget"/>
  </r>
  <r>
    <x v="1"/>
    <s v="Events"/>
    <s v="September"/>
    <x v="134"/>
    <n v="4773"/>
    <s v="Delayed approval"/>
    <s v="On Budget"/>
  </r>
  <r>
    <x v="6"/>
    <s v="Software"/>
    <s v="June"/>
    <x v="135"/>
    <n v="2988"/>
    <s v="NA"/>
    <s v="On Budget"/>
  </r>
  <r>
    <x v="5"/>
    <s v="Training"/>
    <s v="May"/>
    <x v="136"/>
    <n v="11208"/>
    <s v="NA"/>
    <s v="Over Budget"/>
  </r>
  <r>
    <x v="4"/>
    <s v="Software"/>
    <s v="March"/>
    <x v="137"/>
    <n v="8693"/>
    <s v="NA"/>
    <s v="On Budget"/>
  </r>
  <r>
    <x v="0"/>
    <s v="Travel"/>
    <s v="February"/>
    <x v="138"/>
    <n v="8553"/>
    <s v="Urgent need"/>
    <s v="On Budget"/>
  </r>
  <r>
    <x v="2"/>
    <s v="Software"/>
    <s v="April"/>
    <x v="139"/>
    <n v="7102"/>
    <s v="Delayed approval"/>
    <s v="On Budget"/>
  </r>
  <r>
    <x v="2"/>
    <s v="Travel"/>
    <s v="April"/>
    <x v="140"/>
    <n v="11610"/>
    <s v="Overspend"/>
    <s v="Over Budget"/>
  </r>
  <r>
    <x v="5"/>
    <s v="Supplies"/>
    <s v="February"/>
    <x v="141"/>
    <n v="1938"/>
    <s v="Overspend"/>
    <s v="Over Budget"/>
  </r>
  <r>
    <x v="0"/>
    <s v="Consulting"/>
    <s v="July"/>
    <x v="142"/>
    <n v="7843"/>
    <s v="Urgent need"/>
    <s v="Over Budget"/>
  </r>
  <r>
    <x v="2"/>
    <s v="Supplies"/>
    <s v="July"/>
    <x v="143"/>
    <n v="2139"/>
    <s v="NA"/>
    <s v="On Budget"/>
  </r>
  <r>
    <x v="4"/>
    <s v="Equipment"/>
    <s v="August"/>
    <x v="144"/>
    <n v="7191"/>
    <s v="Delayed approval"/>
    <s v="On Budget"/>
  </r>
  <r>
    <x v="5"/>
    <s v="Events"/>
    <s v="July"/>
    <x v="145"/>
    <n v="9652"/>
    <s v="Refund expected"/>
    <s v="Over Budget"/>
  </r>
  <r>
    <x v="3"/>
    <s v="Software"/>
    <s v="August"/>
    <x v="146"/>
    <n v="7558"/>
    <s v="NA"/>
    <s v="Over Budget"/>
  </r>
  <r>
    <x v="5"/>
    <s v="Consulting"/>
    <s v="February"/>
    <x v="147"/>
    <n v="965"/>
    <s v="Delayed approval"/>
    <s v="On Budget"/>
  </r>
  <r>
    <x v="2"/>
    <s v="Travel"/>
    <s v="June"/>
    <x v="148"/>
    <n v="3903"/>
    <s v="NA"/>
    <s v="On Budget"/>
  </r>
  <r>
    <x v="0"/>
    <s v="Equipment"/>
    <s v="April"/>
    <x v="149"/>
    <n v="5246"/>
    <s v="NA"/>
    <s v="On Budget"/>
  </r>
  <r>
    <x v="1"/>
    <s v="Events"/>
    <s v="July"/>
    <x v="150"/>
    <n v="5804"/>
    <s v="Refund expected"/>
    <s v="On Budget"/>
  </r>
  <r>
    <x v="6"/>
    <s v="Training"/>
    <s v="May"/>
    <x v="151"/>
    <n v="7460"/>
    <s v="Delayed approval"/>
    <s v="Over Budget"/>
  </r>
  <r>
    <x v="2"/>
    <s v="Events"/>
    <s v="October"/>
    <x v="152"/>
    <n v="11316"/>
    <s v="Refund expected"/>
    <s v="Over Budget"/>
  </r>
  <r>
    <x v="5"/>
    <s v="Events"/>
    <s v="January"/>
    <x v="153"/>
    <n v="5145"/>
    <s v="Overspend"/>
    <s v="Over Budget"/>
  </r>
  <r>
    <x v="1"/>
    <s v="Equipment"/>
    <s v="May"/>
    <x v="154"/>
    <n v="2852"/>
    <s v="Delayed approval"/>
    <s v="On Budget"/>
  </r>
  <r>
    <x v="6"/>
    <s v="Equipment"/>
    <s v="December"/>
    <x v="155"/>
    <n v="4819"/>
    <s v="NA"/>
    <s v="On Budget"/>
  </r>
  <r>
    <x v="1"/>
    <s v="Consulting"/>
    <s v="April"/>
    <x v="156"/>
    <n v="10517"/>
    <s v="Refund expected"/>
    <s v="Over Budget"/>
  </r>
  <r>
    <x v="2"/>
    <s v="Software"/>
    <s v="September"/>
    <x v="157"/>
    <n v="8070"/>
    <s v="Overspend"/>
    <s v="On Budget"/>
  </r>
  <r>
    <x v="0"/>
    <s v="Training"/>
    <s v="March"/>
    <x v="158"/>
    <n v="6550"/>
    <s v="NA"/>
    <s v="Over Budget"/>
  </r>
  <r>
    <x v="1"/>
    <s v="Training"/>
    <s v="September"/>
    <x v="159"/>
    <n v="9771"/>
    <s v="Urgent need"/>
    <s v="Over Budget"/>
  </r>
  <r>
    <x v="4"/>
    <s v="Software"/>
    <s v="November"/>
    <x v="160"/>
    <n v="11851"/>
    <s v="Delayed approval"/>
    <s v="Over Budget"/>
  </r>
  <r>
    <x v="0"/>
    <s v="Equipment"/>
    <s v="April"/>
    <x v="161"/>
    <n v="3112"/>
    <s v="Urgent need"/>
    <s v="On Budget"/>
  </r>
  <r>
    <x v="2"/>
    <s v="Equipment"/>
    <s v="October"/>
    <x v="162"/>
    <n v="5018"/>
    <s v="Overspend"/>
    <s v="Over Budget"/>
  </r>
  <r>
    <x v="6"/>
    <s v="Supplies"/>
    <s v="March"/>
    <x v="163"/>
    <n v="4643"/>
    <s v="Overspend"/>
    <s v="On Budget"/>
  </r>
  <r>
    <x v="1"/>
    <s v="Consulting"/>
    <s v="February"/>
    <x v="96"/>
    <n v="1086"/>
    <s v="NA"/>
    <s v="On Budget"/>
  </r>
  <r>
    <x v="6"/>
    <s v="Software"/>
    <s v="October"/>
    <x v="164"/>
    <n v="3142"/>
    <s v="Overspend"/>
    <s v="On Budget"/>
  </r>
  <r>
    <x v="0"/>
    <s v="Equipment"/>
    <s v="December"/>
    <x v="165"/>
    <n v="8919"/>
    <s v="Urgent need"/>
    <s v="Over Budget"/>
  </r>
  <r>
    <x v="3"/>
    <s v="Training"/>
    <s v="July"/>
    <x v="166"/>
    <n v="8970"/>
    <s v="NA"/>
    <s v="Over Budget"/>
  </r>
  <r>
    <x v="0"/>
    <s v="Equipment"/>
    <s v="October"/>
    <x v="167"/>
    <n v="7026"/>
    <s v="NA"/>
    <s v="On Budget"/>
  </r>
  <r>
    <x v="1"/>
    <s v="Software"/>
    <s v="May"/>
    <x v="168"/>
    <n v="4594"/>
    <s v="Refund expected"/>
    <s v="On Budget"/>
  </r>
  <r>
    <x v="3"/>
    <s v="Travel"/>
    <s v="October"/>
    <x v="169"/>
    <n v="6304"/>
    <s v="NA"/>
    <s v="On Budget"/>
  </r>
  <r>
    <x v="2"/>
    <s v="Events"/>
    <s v="July"/>
    <x v="170"/>
    <n v="6463"/>
    <s v="Refund expected"/>
    <s v="Over Budget"/>
  </r>
  <r>
    <x v="4"/>
    <s v="Travel"/>
    <s v="December"/>
    <x v="171"/>
    <n v="10207"/>
    <s v="Refund expected"/>
    <s v="Over Budget"/>
  </r>
  <r>
    <x v="1"/>
    <s v="Equipment"/>
    <s v="August"/>
    <x v="172"/>
    <n v="1153"/>
    <s v="NA"/>
    <s v="On Budget"/>
  </r>
  <r>
    <x v="6"/>
    <s v="Events"/>
    <s v="September"/>
    <x v="173"/>
    <n v="5193"/>
    <s v="Urgent need"/>
    <s v="On Budget"/>
  </r>
  <r>
    <x v="6"/>
    <s v="Supplies"/>
    <s v="November"/>
    <x v="174"/>
    <n v="814"/>
    <s v="Delayed approval"/>
    <s v="On Budget"/>
  </r>
  <r>
    <x v="2"/>
    <s v="Supplies"/>
    <s v="November"/>
    <x v="175"/>
    <n v="7764"/>
    <s v="Delayed approval"/>
    <s v="Over Budget"/>
  </r>
  <r>
    <x v="3"/>
    <s v="Supplies"/>
    <s v="October"/>
    <x v="176"/>
    <n v="6793"/>
    <s v="Urgent need"/>
    <s v="On Budget"/>
  </r>
  <r>
    <x v="0"/>
    <s v="Events"/>
    <s v="July"/>
    <x v="177"/>
    <n v="6572"/>
    <s v="Delayed approval"/>
    <s v="On Budget"/>
  </r>
  <r>
    <x v="4"/>
    <s v="Training"/>
    <s v="May"/>
    <x v="178"/>
    <n v="1247"/>
    <s v="Overspend"/>
    <s v="On Budget"/>
  </r>
  <r>
    <x v="3"/>
    <s v="Software"/>
    <s v="July"/>
    <x v="179"/>
    <n v="11068"/>
    <s v="Delayed approval"/>
    <s v="Over Budget"/>
  </r>
  <r>
    <x v="1"/>
    <s v="Consulting"/>
    <s v="May"/>
    <x v="180"/>
    <n v="5406"/>
    <s v="Overspend"/>
    <s v="On Budget"/>
  </r>
  <r>
    <x v="0"/>
    <s v="Software"/>
    <s v="June"/>
    <x v="181"/>
    <n v="8384"/>
    <s v="Overspend"/>
    <s v="Over Budget"/>
  </r>
  <r>
    <x v="0"/>
    <s v="Consulting"/>
    <s v="August"/>
    <x v="182"/>
    <n v="3045"/>
    <s v="Overspend"/>
    <s v="Over Budget"/>
  </r>
  <r>
    <x v="6"/>
    <s v="Software"/>
    <s v="May"/>
    <x v="148"/>
    <n v="11421"/>
    <s v="NA"/>
    <s v="Over Budget"/>
  </r>
  <r>
    <x v="0"/>
    <s v="Training"/>
    <s v="January"/>
    <x v="183"/>
    <n v="7108"/>
    <s v="Delayed approval"/>
    <s v="On Budget"/>
  </r>
  <r>
    <x v="6"/>
    <s v="Events"/>
    <s v="June"/>
    <x v="184"/>
    <n v="3212"/>
    <s v="Overspend"/>
    <s v="On Budget"/>
  </r>
  <r>
    <x v="5"/>
    <s v="Training"/>
    <s v="March"/>
    <x v="185"/>
    <n v="7804"/>
    <s v="Refund expected"/>
    <s v="Over Budget"/>
  </r>
  <r>
    <x v="1"/>
    <s v="Equipment"/>
    <s v="June"/>
    <x v="186"/>
    <n v="9089"/>
    <s v="Delayed approval"/>
    <s v="Over Budget"/>
  </r>
  <r>
    <x v="2"/>
    <s v="Supplies"/>
    <s v="May"/>
    <x v="187"/>
    <n v="3967"/>
    <s v="Overspend"/>
    <s v="Over Budget"/>
  </r>
  <r>
    <x v="3"/>
    <s v="Events"/>
    <s v="June"/>
    <x v="188"/>
    <n v="3747"/>
    <s v="Urgent need"/>
    <s v="Over Budget"/>
  </r>
  <r>
    <x v="3"/>
    <s v="Equipment"/>
    <s v="February"/>
    <x v="189"/>
    <n v="7189"/>
    <s v="Overspend"/>
    <s v="On Budget"/>
  </r>
  <r>
    <x v="5"/>
    <s v="Training"/>
    <s v="August"/>
    <x v="190"/>
    <n v="4080"/>
    <s v="Urgent need"/>
    <s v="On Budget"/>
  </r>
  <r>
    <x v="0"/>
    <s v="Training"/>
    <s v="May"/>
    <x v="191"/>
    <n v="7311"/>
    <s v="NA"/>
    <s v="Over Budget"/>
  </r>
  <r>
    <x v="4"/>
    <s v="Travel"/>
    <s v="May"/>
    <x v="192"/>
    <n v="7989"/>
    <s v="Urgent need"/>
    <s v="On Budget"/>
  </r>
  <r>
    <x v="6"/>
    <s v="Equipment"/>
    <s v="May"/>
    <x v="193"/>
    <n v="9929"/>
    <s v="Delayed approval"/>
    <s v="Over Budget"/>
  </r>
  <r>
    <x v="3"/>
    <s v="Travel"/>
    <s v="March"/>
    <x v="194"/>
    <n v="8953"/>
    <s v="NA"/>
    <s v="Over Budget"/>
  </r>
  <r>
    <x v="6"/>
    <s v="Supplies"/>
    <s v="September"/>
    <x v="195"/>
    <n v="9571"/>
    <s v="NA"/>
    <s v="Over Budget"/>
  </r>
  <r>
    <x v="4"/>
    <s v="Consulting"/>
    <s v="August"/>
    <x v="196"/>
    <n v="4006"/>
    <s v="Delayed approval"/>
    <s v="On Budget"/>
  </r>
  <r>
    <x v="6"/>
    <s v="Travel"/>
    <s v="July"/>
    <x v="197"/>
    <n v="8793"/>
    <s v="Delayed approval"/>
    <s v="Over Budget"/>
  </r>
  <r>
    <x v="1"/>
    <s v="Consulting"/>
    <s v="July"/>
    <x v="198"/>
    <n v="6768"/>
    <s v="Overspend"/>
    <s v="Over Budget"/>
  </r>
  <r>
    <x v="6"/>
    <s v="Training"/>
    <s v="September"/>
    <x v="199"/>
    <n v="4144"/>
    <s v="Overspend"/>
    <s v="On Budget"/>
  </r>
  <r>
    <x v="4"/>
    <s v="Consulting"/>
    <s v="January"/>
    <x v="200"/>
    <n v="4484"/>
    <s v="Refund expected"/>
    <s v="On Budget"/>
  </r>
  <r>
    <x v="0"/>
    <s v="Consulting"/>
    <s v="July"/>
    <x v="201"/>
    <n v="3315"/>
    <s v="Urgent need"/>
    <s v="Over Budget"/>
  </r>
  <r>
    <x v="3"/>
    <s v="Training"/>
    <s v="March"/>
    <x v="202"/>
    <n v="4497"/>
    <s v="Refund expected"/>
    <s v="On Budget"/>
  </r>
  <r>
    <x v="2"/>
    <s v="Travel"/>
    <s v="July"/>
    <x v="203"/>
    <n v="7720"/>
    <s v="Urgent need"/>
    <s v="Over Budget"/>
  </r>
  <r>
    <x v="6"/>
    <s v="Consulting"/>
    <s v="September"/>
    <x v="204"/>
    <n v="2623"/>
    <s v="NA"/>
    <s v="On Budget"/>
  </r>
  <r>
    <x v="1"/>
    <s v="Supplies"/>
    <s v="May"/>
    <x v="205"/>
    <n v="9313"/>
    <s v="NA"/>
    <s v="Over Budget"/>
  </r>
  <r>
    <x v="5"/>
    <s v="Travel"/>
    <s v="August"/>
    <x v="206"/>
    <n v="10859"/>
    <s v="Overspend"/>
    <s v="Over Budget"/>
  </r>
  <r>
    <x v="4"/>
    <s v="Equipment"/>
    <s v="September"/>
    <x v="207"/>
    <n v="829"/>
    <s v="Overspend"/>
    <s v="On Budget"/>
  </r>
  <r>
    <x v="5"/>
    <s v="Events"/>
    <s v="November"/>
    <x v="208"/>
    <n v="5731"/>
    <s v="Urgent need"/>
    <s v="Over Budget"/>
  </r>
  <r>
    <x v="4"/>
    <s v="Events"/>
    <s v="April"/>
    <x v="209"/>
    <n v="7101"/>
    <s v="Delayed approval"/>
    <s v="Over Budget"/>
  </r>
  <r>
    <x v="2"/>
    <s v="Software"/>
    <s v="April"/>
    <x v="210"/>
    <n v="5070"/>
    <s v="Refund expected"/>
    <s v="Over Budget"/>
  </r>
  <r>
    <x v="5"/>
    <s v="Travel"/>
    <s v="December"/>
    <x v="211"/>
    <n v="9374"/>
    <s v="Overspend"/>
    <s v="Over Budget"/>
  </r>
  <r>
    <x v="1"/>
    <s v="Equipment"/>
    <s v="May"/>
    <x v="212"/>
    <n v="10473"/>
    <s v="Refund expected"/>
    <s v="Over Budget"/>
  </r>
  <r>
    <x v="1"/>
    <s v="Travel"/>
    <s v="January"/>
    <x v="213"/>
    <n v="4041"/>
    <s v="Refund expected"/>
    <s v="On Budget"/>
  </r>
  <r>
    <x v="6"/>
    <s v="Events"/>
    <s v="March"/>
    <x v="214"/>
    <n v="3032"/>
    <s v="Overspend"/>
    <s v="On Budget"/>
  </r>
  <r>
    <x v="6"/>
    <s v="Equipment"/>
    <s v="November"/>
    <x v="215"/>
    <n v="4955"/>
    <s v="Refund expected"/>
    <s v="On Budget"/>
  </r>
  <r>
    <x v="3"/>
    <s v="Equipment"/>
    <s v="September"/>
    <x v="216"/>
    <n v="9990"/>
    <s v="Delayed approval"/>
    <s v="Over Budget"/>
  </r>
  <r>
    <x v="1"/>
    <s v="Consulting"/>
    <s v="September"/>
    <x v="217"/>
    <n v="6186"/>
    <s v="NA"/>
    <s v="Over Budget"/>
  </r>
  <r>
    <x v="2"/>
    <s v="Events"/>
    <s v="March"/>
    <x v="218"/>
    <n v="2902"/>
    <s v="NA"/>
    <s v="On Budget"/>
  </r>
  <r>
    <x v="4"/>
    <s v="Travel"/>
    <s v="December"/>
    <x v="219"/>
    <n v="10511"/>
    <s v="NA"/>
    <s v="Over Budget"/>
  </r>
  <r>
    <x v="4"/>
    <s v="Equipment"/>
    <s v="June"/>
    <x v="220"/>
    <n v="4561"/>
    <s v="NA"/>
    <s v="Over Budget"/>
  </r>
  <r>
    <x v="1"/>
    <s v="Supplies"/>
    <s v="July"/>
    <x v="221"/>
    <n v="11562"/>
    <s v="Delayed approval"/>
    <s v="Over Budget"/>
  </r>
  <r>
    <x v="1"/>
    <s v="Equipment"/>
    <s v="September"/>
    <x v="222"/>
    <n v="6289"/>
    <s v="Overspend"/>
    <s v="Over Budget"/>
  </r>
  <r>
    <x v="2"/>
    <s v="Software"/>
    <s v="January"/>
    <x v="223"/>
    <n v="8730"/>
    <s v="Refund expected"/>
    <s v="Over Budget"/>
  </r>
  <r>
    <x v="1"/>
    <s v="Equipment"/>
    <s v="August"/>
    <x v="224"/>
    <n v="5567"/>
    <s v="Delayed approval"/>
    <s v="Over Budget"/>
  </r>
  <r>
    <x v="6"/>
    <s v="Events"/>
    <s v="April"/>
    <x v="225"/>
    <n v="2722"/>
    <s v="Delayed approval"/>
    <s v="On Budget"/>
  </r>
  <r>
    <x v="3"/>
    <s v="Supplies"/>
    <s v="August"/>
    <x v="226"/>
    <n v="4973"/>
    <s v="Overspend"/>
    <s v="Over Budget"/>
  </r>
  <r>
    <x v="5"/>
    <s v="Events"/>
    <s v="September"/>
    <x v="227"/>
    <n v="11541"/>
    <s v="Overspend"/>
    <s v="Over Budget"/>
  </r>
  <r>
    <x v="4"/>
    <s v="Software"/>
    <s v="December"/>
    <x v="228"/>
    <n v="6868"/>
    <s v="NA"/>
    <s v="Over Budget"/>
  </r>
  <r>
    <x v="6"/>
    <s v="Supplies"/>
    <s v="June"/>
    <x v="229"/>
    <n v="11277"/>
    <s v="Delayed approval"/>
    <s v="Over Budget"/>
  </r>
  <r>
    <x v="5"/>
    <s v="Training"/>
    <s v="June"/>
    <x v="230"/>
    <n v="7225"/>
    <s v="Overspend"/>
    <s v="On Budget"/>
  </r>
  <r>
    <x v="5"/>
    <s v="Consulting"/>
    <s v="January"/>
    <x v="174"/>
    <n v="11355"/>
    <s v="NA"/>
    <s v="Over Budget"/>
  </r>
  <r>
    <x v="2"/>
    <s v="Consulting"/>
    <s v="July"/>
    <x v="231"/>
    <n v="4518"/>
    <s v="Urgent need"/>
    <s v="On Budget"/>
  </r>
  <r>
    <x v="0"/>
    <s v="Supplies"/>
    <s v="May"/>
    <x v="232"/>
    <n v="1217"/>
    <s v="NA"/>
    <s v="On Budget"/>
  </r>
  <r>
    <x v="5"/>
    <s v="Software"/>
    <s v="December"/>
    <x v="233"/>
    <n v="2621"/>
    <s v="Refund expected"/>
    <s v="On Budget"/>
  </r>
  <r>
    <x v="3"/>
    <s v="Software"/>
    <s v="February"/>
    <x v="234"/>
    <n v="1649"/>
    <s v="NA"/>
    <s v="On Budget"/>
  </r>
  <r>
    <x v="0"/>
    <s v="Training"/>
    <s v="November"/>
    <x v="235"/>
    <n v="4936"/>
    <s v="Refund expected"/>
    <s v="Over Budget"/>
  </r>
  <r>
    <x v="4"/>
    <s v="Consulting"/>
    <s v="November"/>
    <x v="236"/>
    <n v="5025"/>
    <s v="Refund expected"/>
    <s v="On Budget"/>
  </r>
  <r>
    <x v="1"/>
    <s v="Software"/>
    <s v="September"/>
    <x v="237"/>
    <n v="8838"/>
    <s v="Delayed approval"/>
    <s v="Over Budget"/>
  </r>
  <r>
    <x v="0"/>
    <s v="Supplies"/>
    <s v="April"/>
    <x v="238"/>
    <n v="11039"/>
    <s v="Refund expected"/>
    <s v="Over Budget"/>
  </r>
  <r>
    <x v="1"/>
    <s v="Training"/>
    <s v="October"/>
    <x v="239"/>
    <n v="7005"/>
    <s v="Urgent need"/>
    <s v="On Budget"/>
  </r>
  <r>
    <x v="0"/>
    <s v="Software"/>
    <s v="June"/>
    <x v="240"/>
    <n v="11868"/>
    <s v="Overspend"/>
    <s v="Over Budget"/>
  </r>
  <r>
    <x v="2"/>
    <s v="Equipment"/>
    <s v="December"/>
    <x v="241"/>
    <n v="8033"/>
    <s v="Overspend"/>
    <s v="Over Budget"/>
  </r>
  <r>
    <x v="3"/>
    <s v="Software"/>
    <s v="May"/>
    <x v="242"/>
    <n v="3132"/>
    <s v="Urgent need"/>
    <s v="On Budget"/>
  </r>
  <r>
    <x v="2"/>
    <s v="Supplies"/>
    <s v="August"/>
    <x v="243"/>
    <n v="10802"/>
    <s v="Urgent need"/>
    <s v="Over Budget"/>
  </r>
  <r>
    <x v="5"/>
    <s v="Travel"/>
    <s v="April"/>
    <x v="244"/>
    <n v="7267"/>
    <s v="NA"/>
    <s v="On Budget"/>
  </r>
  <r>
    <x v="0"/>
    <s v="Equipment"/>
    <s v="November"/>
    <x v="245"/>
    <n v="5891"/>
    <s v="Urgent need"/>
    <s v="On Budget"/>
  </r>
  <r>
    <x v="1"/>
    <s v="Training"/>
    <s v="October"/>
    <x v="246"/>
    <n v="6988"/>
    <s v="Refund expected"/>
    <s v="Over Budget"/>
  </r>
  <r>
    <x v="4"/>
    <s v="Equipment"/>
    <s v="July"/>
    <x v="247"/>
    <n v="2896"/>
    <s v="Urgent need"/>
    <s v="On Budget"/>
  </r>
  <r>
    <x v="5"/>
    <s v="Training"/>
    <s v="July"/>
    <x v="248"/>
    <n v="2949"/>
    <s v="Delayed approval"/>
    <s v="Over Budget"/>
  </r>
  <r>
    <x v="0"/>
    <s v="Equipment"/>
    <s v="November"/>
    <x v="249"/>
    <n v="6328"/>
    <s v="Urgent need"/>
    <s v="On Budget"/>
  </r>
  <r>
    <x v="4"/>
    <s v="Travel"/>
    <s v="June"/>
    <x v="250"/>
    <n v="3280"/>
    <s v="Overspend"/>
    <s v="On Budget"/>
  </r>
  <r>
    <x v="4"/>
    <s v="Events"/>
    <s v="October"/>
    <x v="251"/>
    <n v="11407"/>
    <s v="Urgent need"/>
    <s v="Over Budget"/>
  </r>
  <r>
    <x v="0"/>
    <s v="Supplies"/>
    <s v="December"/>
    <x v="252"/>
    <n v="2148"/>
    <s v="NA"/>
    <s v="On Budget"/>
  </r>
  <r>
    <x v="1"/>
    <s v="Software"/>
    <s v="March"/>
    <x v="253"/>
    <n v="9057"/>
    <s v="Urgent need"/>
    <s v="Over Budget"/>
  </r>
  <r>
    <x v="2"/>
    <s v="Training"/>
    <s v="August"/>
    <x v="254"/>
    <n v="11687"/>
    <s v="Refund expected"/>
    <s v="Over Budget"/>
  </r>
  <r>
    <x v="4"/>
    <s v="Training"/>
    <s v="August"/>
    <x v="255"/>
    <n v="1587"/>
    <s v="Refund expected"/>
    <s v="On Budget"/>
  </r>
  <r>
    <x v="5"/>
    <s v="Travel"/>
    <s v="July"/>
    <x v="256"/>
    <n v="8379"/>
    <s v="Refund expected"/>
    <s v="Over Budget"/>
  </r>
  <r>
    <x v="4"/>
    <s v="Consulting"/>
    <s v="December"/>
    <x v="257"/>
    <n v="3030"/>
    <s v="Urgent need"/>
    <s v="On Budget"/>
  </r>
  <r>
    <x v="3"/>
    <s v="Events"/>
    <s v="April"/>
    <x v="258"/>
    <n v="9689"/>
    <s v="Urgent need"/>
    <s v="Over Budget"/>
  </r>
  <r>
    <x v="6"/>
    <s v="Consulting"/>
    <s v="March"/>
    <x v="259"/>
    <n v="2491"/>
    <s v="Delayed approval"/>
    <s v="On Budget"/>
  </r>
  <r>
    <x v="6"/>
    <s v="Training"/>
    <s v="January"/>
    <x v="260"/>
    <n v="5363"/>
    <s v="Overspend"/>
    <s v="On Budget"/>
  </r>
  <r>
    <x v="4"/>
    <s v="Consulting"/>
    <s v="November"/>
    <x v="261"/>
    <n v="1264"/>
    <s v="NA"/>
    <s v="Over Budget"/>
  </r>
  <r>
    <x v="1"/>
    <s v="Consulting"/>
    <s v="May"/>
    <x v="262"/>
    <n v="5204"/>
    <s v="NA"/>
    <s v="Over Budget"/>
  </r>
  <r>
    <x v="3"/>
    <s v="Travel"/>
    <s v="December"/>
    <x v="263"/>
    <n v="9429"/>
    <s v="Urgent need"/>
    <s v="Over Budget"/>
  </r>
  <r>
    <x v="5"/>
    <s v="Training"/>
    <s v="October"/>
    <x v="264"/>
    <n v="9646"/>
    <s v="Delayed approval"/>
    <s v="Over Budget"/>
  </r>
  <r>
    <x v="4"/>
    <s v="Supplies"/>
    <s v="April"/>
    <x v="265"/>
    <n v="8443"/>
    <s v="Delayed approval"/>
    <s v="Over Budget"/>
  </r>
  <r>
    <x v="4"/>
    <s v="Training"/>
    <s v="January"/>
    <x v="266"/>
    <n v="8891"/>
    <s v="Delayed approval"/>
    <s v="Over Budget"/>
  </r>
  <r>
    <x v="0"/>
    <s v="Equipment"/>
    <s v="February"/>
    <x v="267"/>
    <n v="3122"/>
    <s v="Urgent need"/>
    <s v="On Budget"/>
  </r>
  <r>
    <x v="6"/>
    <s v="Software"/>
    <s v="January"/>
    <x v="268"/>
    <n v="11229"/>
    <s v="NA"/>
    <s v="Over Budget"/>
  </r>
  <r>
    <x v="0"/>
    <s v="Equipment"/>
    <s v="December"/>
    <x v="269"/>
    <n v="1271"/>
    <s v="Delayed approval"/>
    <s v="On Budget"/>
  </r>
  <r>
    <x v="3"/>
    <s v="Equipment"/>
    <s v="April"/>
    <x v="270"/>
    <n v="6390"/>
    <s v="Delayed approval"/>
    <s v="Over Budget"/>
  </r>
  <r>
    <x v="6"/>
    <s v="Training"/>
    <s v="March"/>
    <x v="271"/>
    <n v="8706"/>
    <s v="Urgent need"/>
    <s v="Over Budget"/>
  </r>
  <r>
    <x v="1"/>
    <s v="Events"/>
    <s v="January"/>
    <x v="272"/>
    <n v="9472"/>
    <s v="NA"/>
    <s v="Over Budget"/>
  </r>
  <r>
    <x v="6"/>
    <s v="Consulting"/>
    <s v="June"/>
    <x v="273"/>
    <n v="807"/>
    <s v="Overspend"/>
    <s v="On Budget"/>
  </r>
  <r>
    <x v="2"/>
    <s v="Supplies"/>
    <s v="September"/>
    <x v="274"/>
    <n v="843"/>
    <s v="Overspend"/>
    <s v="On Budget"/>
  </r>
  <r>
    <x v="5"/>
    <s v="Travel"/>
    <s v="April"/>
    <x v="275"/>
    <n v="1853"/>
    <s v="Refund expected"/>
    <s v="On Budget"/>
  </r>
  <r>
    <x v="0"/>
    <s v="Events"/>
    <s v="October"/>
    <x v="276"/>
    <n v="5535"/>
    <s v="NA"/>
    <s v="On Budget"/>
  </r>
  <r>
    <x v="4"/>
    <s v="Travel"/>
    <s v="March"/>
    <x v="277"/>
    <n v="2127"/>
    <s v="Delayed approval"/>
    <s v="On Budget"/>
  </r>
  <r>
    <x v="0"/>
    <s v="Events"/>
    <s v="May"/>
    <x v="278"/>
    <n v="3434"/>
    <s v="Urgent need"/>
    <s v="On Budget"/>
  </r>
  <r>
    <x v="5"/>
    <s v="Events"/>
    <s v="November"/>
    <x v="279"/>
    <n v="7698"/>
    <s v="Refund expected"/>
    <s v="Over Budget"/>
  </r>
  <r>
    <x v="5"/>
    <s v="Travel"/>
    <s v="December"/>
    <x v="280"/>
    <n v="5651"/>
    <s v="Overspend"/>
    <s v="On Budget"/>
  </r>
  <r>
    <x v="4"/>
    <s v="Travel"/>
    <s v="October"/>
    <x v="281"/>
    <n v="2616"/>
    <s v="NA"/>
    <s v="On Budget"/>
  </r>
  <r>
    <x v="2"/>
    <s v="Equipment"/>
    <s v="June"/>
    <x v="282"/>
    <n v="10266"/>
    <s v="Urgent need"/>
    <s v="Over Budget"/>
  </r>
  <r>
    <x v="2"/>
    <s v="Training"/>
    <s v="February"/>
    <x v="283"/>
    <n v="9246"/>
    <s v="Delayed approval"/>
    <s v="Over Budget"/>
  </r>
  <r>
    <x v="2"/>
    <s v="Travel"/>
    <s v="August"/>
    <x v="284"/>
    <n v="6856"/>
    <s v="Urgent need"/>
    <s v="Over Budget"/>
  </r>
  <r>
    <x v="6"/>
    <s v="Consulting"/>
    <s v="July"/>
    <x v="285"/>
    <n v="2450"/>
    <s v="Delayed approval"/>
    <s v="On Budget"/>
  </r>
  <r>
    <x v="3"/>
    <s v="Supplies"/>
    <s v="July"/>
    <x v="286"/>
    <n v="6782"/>
    <s v="Refund expected"/>
    <s v="On Budget"/>
  </r>
  <r>
    <x v="1"/>
    <s v="Consulting"/>
    <s v="December"/>
    <x v="287"/>
    <n v="7403"/>
    <s v="Overspend"/>
    <s v="Over Budget"/>
  </r>
  <r>
    <x v="6"/>
    <s v="Supplies"/>
    <s v="April"/>
    <x v="288"/>
    <n v="4862"/>
    <s v="Delayed approval"/>
    <s v="Over Budget"/>
  </r>
  <r>
    <x v="4"/>
    <s v="Training"/>
    <s v="October"/>
    <x v="289"/>
    <n v="8953"/>
    <s v="Refund expected"/>
    <s v="On Budget"/>
  </r>
  <r>
    <x v="3"/>
    <s v="Training"/>
    <s v="October"/>
    <x v="290"/>
    <n v="3904"/>
    <s v="Urgent need"/>
    <s v="On Budget"/>
  </r>
  <r>
    <x v="1"/>
    <s v="Training"/>
    <s v="October"/>
    <x v="291"/>
    <n v="5491"/>
    <s v="Overspend"/>
    <s v="On Budget"/>
  </r>
  <r>
    <x v="5"/>
    <s v="Travel"/>
    <s v="September"/>
    <x v="292"/>
    <n v="6484"/>
    <s v="NA"/>
    <s v="On Budget"/>
  </r>
  <r>
    <x v="4"/>
    <s v="Travel"/>
    <s v="September"/>
    <x v="293"/>
    <n v="8670"/>
    <s v="Delayed approval"/>
    <s v="Over Budget"/>
  </r>
  <r>
    <x v="1"/>
    <s v="Training"/>
    <s v="July"/>
    <x v="294"/>
    <n v="1318"/>
    <s v="NA"/>
    <s v="On Budget"/>
  </r>
  <r>
    <x v="3"/>
    <s v="Events"/>
    <s v="May"/>
    <x v="295"/>
    <n v="11251"/>
    <s v="Urgent need"/>
    <s v="Over Budget"/>
  </r>
  <r>
    <x v="3"/>
    <s v="Events"/>
    <s v="August"/>
    <x v="296"/>
    <n v="3025"/>
    <s v="Overspend"/>
    <s v="On Budget"/>
  </r>
  <r>
    <x v="0"/>
    <s v="Supplies"/>
    <s v="May"/>
    <x v="297"/>
    <n v="11194"/>
    <s v="Urgent need"/>
    <s v="Over Budget"/>
  </r>
  <r>
    <x v="2"/>
    <s v="Training"/>
    <s v="September"/>
    <x v="298"/>
    <n v="6688"/>
    <s v="Overspend"/>
    <s v="Over Budget"/>
  </r>
  <r>
    <x v="6"/>
    <s v="Consulting"/>
    <s v="January"/>
    <x v="299"/>
    <n v="1391"/>
    <s v="Delayed approval"/>
    <s v="On Budget"/>
  </r>
  <r>
    <x v="3"/>
    <s v="Training"/>
    <s v="January"/>
    <x v="300"/>
    <n v="5418"/>
    <s v="Delayed approval"/>
    <s v="Over Budget"/>
  </r>
  <r>
    <x v="1"/>
    <s v="Equipment"/>
    <s v="October"/>
    <x v="301"/>
    <n v="10293"/>
    <s v="Refund expected"/>
    <s v="Over Budget"/>
  </r>
  <r>
    <x v="6"/>
    <s v="Events"/>
    <s v="April"/>
    <x v="302"/>
    <n v="8292"/>
    <s v="Delayed approval"/>
    <s v="Over Budget"/>
  </r>
  <r>
    <x v="2"/>
    <s v="Consulting"/>
    <s v="June"/>
    <x v="303"/>
    <n v="5281"/>
    <s v="NA"/>
    <s v="Over Budget"/>
  </r>
  <r>
    <x v="2"/>
    <s v="Travel"/>
    <s v="June"/>
    <x v="304"/>
    <n v="2316"/>
    <s v="Urgent need"/>
    <s v="Over Budget"/>
  </r>
  <r>
    <x v="0"/>
    <s v="Supplies"/>
    <s v="August"/>
    <x v="305"/>
    <n v="8014"/>
    <s v="Overspend"/>
    <s v="Over Budget"/>
  </r>
  <r>
    <x v="3"/>
    <s v="Events"/>
    <s v="February"/>
    <x v="306"/>
    <n v="11530"/>
    <s v="Overspend"/>
    <s v="Over Budget"/>
  </r>
  <r>
    <x v="0"/>
    <s v="Travel"/>
    <s v="September"/>
    <x v="32"/>
    <n v="4266"/>
    <s v="Refund expected"/>
    <s v="On Budget"/>
  </r>
  <r>
    <x v="4"/>
    <s v="Training"/>
    <s v="September"/>
    <x v="307"/>
    <n v="3570"/>
    <s v="Overspend"/>
    <s v="On Budget"/>
  </r>
  <r>
    <x v="1"/>
    <s v="Software"/>
    <s v="January"/>
    <x v="308"/>
    <n v="5459"/>
    <s v="Overspend"/>
    <s v="Over Budget"/>
  </r>
  <r>
    <x v="5"/>
    <s v="Training"/>
    <s v="August"/>
    <x v="309"/>
    <n v="1754"/>
    <s v="Refund expected"/>
    <s v="On Budget"/>
  </r>
  <r>
    <x v="5"/>
    <s v="Events"/>
    <s v="December"/>
    <x v="310"/>
    <n v="10878"/>
    <s v="Delayed approval"/>
    <s v="Over Budget"/>
  </r>
  <r>
    <x v="4"/>
    <s v="Training"/>
    <s v="January"/>
    <x v="311"/>
    <n v="6088"/>
    <s v="Delayed approval"/>
    <s v="Over Budget"/>
  </r>
  <r>
    <x v="0"/>
    <s v="Travel"/>
    <s v="July"/>
    <x v="312"/>
    <n v="2807"/>
    <s v="NA"/>
    <s v="Over Budget"/>
  </r>
  <r>
    <x v="3"/>
    <s v="Training"/>
    <s v="February"/>
    <x v="313"/>
    <n v="9241"/>
    <s v="Refund expected"/>
    <s v="On Budget"/>
  </r>
  <r>
    <x v="1"/>
    <s v="Software"/>
    <s v="October"/>
    <x v="314"/>
    <n v="4621"/>
    <s v="Delayed approval"/>
    <s v="Over Budget"/>
  </r>
  <r>
    <x v="4"/>
    <s v="Supplies"/>
    <s v="September"/>
    <x v="315"/>
    <n v="1844"/>
    <s v="Urgent need"/>
    <s v="On Budget"/>
  </r>
  <r>
    <x v="0"/>
    <s v="Supplies"/>
    <s v="September"/>
    <x v="316"/>
    <n v="5952"/>
    <s v="Refund expected"/>
    <s v="On Budget"/>
  </r>
  <r>
    <x v="2"/>
    <s v="Events"/>
    <s v="December"/>
    <x v="317"/>
    <n v="6606"/>
    <s v="Urgent need"/>
    <s v="Over Budget"/>
  </r>
  <r>
    <x v="1"/>
    <s v="Equipment"/>
    <s v="February"/>
    <x v="318"/>
    <n v="3201"/>
    <s v="Urgent need"/>
    <s v="On Budget"/>
  </r>
  <r>
    <x v="2"/>
    <s v="Consulting"/>
    <s v="June"/>
    <x v="319"/>
    <n v="9212"/>
    <s v="Delayed approval"/>
    <s v="Over Budget"/>
  </r>
  <r>
    <x v="4"/>
    <s v="Consulting"/>
    <s v="December"/>
    <x v="320"/>
    <n v="1795"/>
    <s v="Refund expected"/>
    <s v="On Budget"/>
  </r>
  <r>
    <x v="6"/>
    <s v="Travel"/>
    <s v="October"/>
    <x v="321"/>
    <n v="10328"/>
    <s v="Urgent need"/>
    <s v="Over Budget"/>
  </r>
  <r>
    <x v="5"/>
    <s v="Supplies"/>
    <s v="February"/>
    <x v="322"/>
    <n v="11686"/>
    <s v="Urgent need"/>
    <s v="Over Budget"/>
  </r>
  <r>
    <x v="0"/>
    <s v="Consulting"/>
    <s v="February"/>
    <x v="323"/>
    <n v="5984"/>
    <s v="Urgent need"/>
    <s v="On Budget"/>
  </r>
  <r>
    <x v="0"/>
    <s v="Training"/>
    <s v="October"/>
    <x v="324"/>
    <n v="11794"/>
    <s v="Refund expected"/>
    <s v="Over Budget"/>
  </r>
  <r>
    <x v="0"/>
    <s v="Events"/>
    <s v="July"/>
    <x v="325"/>
    <n v="11818"/>
    <s v="Urgent need"/>
    <s v="Over Budget"/>
  </r>
  <r>
    <x v="0"/>
    <s v="Supplies"/>
    <s v="April"/>
    <x v="326"/>
    <n v="7588"/>
    <s v="Urgent need"/>
    <s v="Over Budget"/>
  </r>
  <r>
    <x v="3"/>
    <s v="Consulting"/>
    <s v="December"/>
    <x v="327"/>
    <n v="10028"/>
    <s v="Urgent need"/>
    <s v="Over Budget"/>
  </r>
  <r>
    <x v="1"/>
    <s v="Software"/>
    <s v="November"/>
    <x v="258"/>
    <n v="3972"/>
    <s v="Urgent need"/>
    <s v="On Budget"/>
  </r>
  <r>
    <x v="5"/>
    <s v="Events"/>
    <s v="July"/>
    <x v="328"/>
    <n v="1799"/>
    <s v="Delayed approval"/>
    <s v="On Budget"/>
  </r>
  <r>
    <x v="4"/>
    <s v="Travel"/>
    <s v="October"/>
    <x v="329"/>
    <n v="2980"/>
    <s v="Urgent need"/>
    <s v="On Budget"/>
  </r>
  <r>
    <x v="6"/>
    <s v="Supplies"/>
    <s v="April"/>
    <x v="188"/>
    <n v="9345"/>
    <s v="Refund expected"/>
    <s v="Over Budget"/>
  </r>
  <r>
    <x v="5"/>
    <s v="Software"/>
    <s v="July"/>
    <x v="330"/>
    <n v="8479"/>
    <s v="Delayed approval"/>
    <s v="On Budget"/>
  </r>
  <r>
    <x v="1"/>
    <s v="Software"/>
    <s v="February"/>
    <x v="331"/>
    <n v="4775"/>
    <s v="Overspend"/>
    <s v="On Budget"/>
  </r>
  <r>
    <x v="2"/>
    <s v="Consulting"/>
    <s v="January"/>
    <x v="332"/>
    <n v="10284"/>
    <s v="Urgent need"/>
    <s v="Over Budget"/>
  </r>
  <r>
    <x v="5"/>
    <s v="Supplies"/>
    <s v="July"/>
    <x v="333"/>
    <n v="2472"/>
    <s v="Refund expected"/>
    <s v="Over Budget"/>
  </r>
  <r>
    <x v="6"/>
    <s v="Events"/>
    <s v="July"/>
    <x v="334"/>
    <n v="10511"/>
    <s v="Overspend"/>
    <s v="Over Budget"/>
  </r>
  <r>
    <x v="6"/>
    <s v="Training"/>
    <s v="December"/>
    <x v="335"/>
    <n v="4780"/>
    <s v="Delayed approval"/>
    <s v="Over Budget"/>
  </r>
  <r>
    <x v="6"/>
    <s v="Equipment"/>
    <s v="January"/>
    <x v="336"/>
    <n v="9356"/>
    <s v="Overspend"/>
    <s v="Over Budget"/>
  </r>
  <r>
    <x v="2"/>
    <s v="Consulting"/>
    <s v="July"/>
    <x v="337"/>
    <n v="6966"/>
    <s v="Urgent need"/>
    <s v="Over Budget"/>
  </r>
  <r>
    <x v="6"/>
    <s v="Events"/>
    <s v="October"/>
    <x v="338"/>
    <n v="5535"/>
    <s v="Overspend"/>
    <s v="On Budget"/>
  </r>
  <r>
    <x v="4"/>
    <s v="Travel"/>
    <s v="January"/>
    <x v="339"/>
    <n v="6709"/>
    <s v="Delayed approval"/>
    <s v="Over Budget"/>
  </r>
  <r>
    <x v="5"/>
    <s v="Consulting"/>
    <s v="September"/>
    <x v="340"/>
    <n v="5517"/>
    <s v="Refund expected"/>
    <s v="On Budget"/>
  </r>
  <r>
    <x v="2"/>
    <s v="Events"/>
    <s v="February"/>
    <x v="341"/>
    <n v="8547"/>
    <s v="Overspend"/>
    <s v="Over Budget"/>
  </r>
  <r>
    <x v="2"/>
    <s v="Travel"/>
    <s v="February"/>
    <x v="342"/>
    <n v="3846"/>
    <s v="Refund expected"/>
    <s v="On Budget"/>
  </r>
  <r>
    <x v="0"/>
    <s v="Software"/>
    <s v="March"/>
    <x v="343"/>
    <n v="3007"/>
    <s v="Delayed approval"/>
    <s v="On Budget"/>
  </r>
  <r>
    <x v="2"/>
    <s v="Consulting"/>
    <s v="February"/>
    <x v="344"/>
    <n v="1888"/>
    <s v="Refund expected"/>
    <s v="Over Budget"/>
  </r>
  <r>
    <x v="2"/>
    <s v="Supplies"/>
    <s v="December"/>
    <x v="345"/>
    <n v="6765"/>
    <s v="Delayed approval"/>
    <s v="Over Budget"/>
  </r>
  <r>
    <x v="6"/>
    <s v="Equipment"/>
    <s v="April"/>
    <x v="346"/>
    <n v="886"/>
    <s v="Urgent need"/>
    <s v="On Budget"/>
  </r>
  <r>
    <x v="5"/>
    <s v="Events"/>
    <s v="January"/>
    <x v="347"/>
    <n v="10592"/>
    <s v="Refund expected"/>
    <s v="Over Budget"/>
  </r>
  <r>
    <x v="0"/>
    <s v="Training"/>
    <s v="April"/>
    <x v="348"/>
    <n v="11721"/>
    <s v="Refund expected"/>
    <s v="Over Budget"/>
  </r>
  <r>
    <x v="2"/>
    <s v="Travel"/>
    <s v="November"/>
    <x v="349"/>
    <n v="7574"/>
    <s v="NA"/>
    <s v="On Budget"/>
  </r>
  <r>
    <x v="4"/>
    <s v="Training"/>
    <s v="June"/>
    <x v="350"/>
    <n v="1962"/>
    <s v="Refund expected"/>
    <s v="On Budget"/>
  </r>
  <r>
    <x v="6"/>
    <s v="Events"/>
    <s v="May"/>
    <x v="351"/>
    <n v="4309"/>
    <s v="Refund expected"/>
    <s v="On Budget"/>
  </r>
  <r>
    <x v="3"/>
    <s v="Travel"/>
    <s v="April"/>
    <x v="352"/>
    <n v="10879"/>
    <s v="Overspend"/>
    <s v="Over Budget"/>
  </r>
  <r>
    <x v="3"/>
    <s v="Supplies"/>
    <s v="September"/>
    <x v="353"/>
    <n v="1004"/>
    <s v="Delayed approval"/>
    <s v="On Budget"/>
  </r>
  <r>
    <x v="4"/>
    <s v="Software"/>
    <s v="February"/>
    <x v="354"/>
    <n v="10157"/>
    <s v="Overspend"/>
    <s v="Over Budget"/>
  </r>
  <r>
    <x v="2"/>
    <s v="Travel"/>
    <s v="November"/>
    <x v="355"/>
    <n v="7117"/>
    <s v="Urgent need"/>
    <s v="Over Budget"/>
  </r>
  <r>
    <x v="0"/>
    <s v="Software"/>
    <s v="June"/>
    <x v="356"/>
    <n v="2609"/>
    <s v="Delayed approval"/>
    <s v="On Budget"/>
  </r>
  <r>
    <x v="6"/>
    <s v="Software"/>
    <s v="February"/>
    <x v="357"/>
    <n v="2852"/>
    <s v="Overspend"/>
    <s v="On Budget"/>
  </r>
  <r>
    <x v="4"/>
    <s v="Events"/>
    <s v="October"/>
    <x v="358"/>
    <n v="5673"/>
    <s v="Refund expected"/>
    <s v="Over Budget"/>
  </r>
  <r>
    <x v="6"/>
    <s v="Events"/>
    <s v="October"/>
    <x v="359"/>
    <n v="8197"/>
    <s v="Overspend"/>
    <s v="On Budget"/>
  </r>
  <r>
    <x v="1"/>
    <s v="Consulting"/>
    <s v="February"/>
    <x v="360"/>
    <n v="9280"/>
    <s v="Overspend"/>
    <s v="Over Budget"/>
  </r>
  <r>
    <x v="0"/>
    <s v="Software"/>
    <s v="March"/>
    <x v="361"/>
    <n v="1976"/>
    <s v="Overspend"/>
    <s v="On Budget"/>
  </r>
  <r>
    <x v="2"/>
    <s v="Software"/>
    <s v="October"/>
    <x v="362"/>
    <n v="1653"/>
    <s v="Overspend"/>
    <s v="On Budget"/>
  </r>
  <r>
    <x v="2"/>
    <s v="Training"/>
    <s v="July"/>
    <x v="363"/>
    <n v="9933"/>
    <s v="Delayed approval"/>
    <s v="Over Budget"/>
  </r>
  <r>
    <x v="2"/>
    <s v="Equipment"/>
    <s v="January"/>
    <x v="364"/>
    <n v="5795"/>
    <s v="NA"/>
    <s v="On Budget"/>
  </r>
  <r>
    <x v="5"/>
    <s v="Supplies"/>
    <s v="January"/>
    <x v="365"/>
    <n v="1405"/>
    <s v="Delayed approval"/>
    <s v="On Budget"/>
  </r>
  <r>
    <x v="6"/>
    <s v="Software"/>
    <s v="September"/>
    <x v="366"/>
    <n v="11306"/>
    <s v="Urgent need"/>
    <s v="Over Budget"/>
  </r>
  <r>
    <x v="2"/>
    <s v="Events"/>
    <s v="July"/>
    <x v="367"/>
    <n v="4841"/>
    <s v="Refund expected"/>
    <s v="Over Budget"/>
  </r>
  <r>
    <x v="1"/>
    <s v="Equipment"/>
    <s v="January"/>
    <x v="368"/>
    <n v="3718"/>
    <s v="NA"/>
    <s v="On Budget"/>
  </r>
  <r>
    <x v="2"/>
    <s v="Software"/>
    <s v="January"/>
    <x v="369"/>
    <n v="7447"/>
    <s v="Overspend"/>
    <s v="Over Budget"/>
  </r>
  <r>
    <x v="1"/>
    <s v="Software"/>
    <s v="February"/>
    <x v="370"/>
    <n v="2439"/>
    <s v="NA"/>
    <s v="On Budget"/>
  </r>
  <r>
    <x v="3"/>
    <s v="Software"/>
    <s v="June"/>
    <x v="371"/>
    <n v="11544"/>
    <s v="NA"/>
    <s v="Over Budget"/>
  </r>
  <r>
    <x v="0"/>
    <s v="Supplies"/>
    <s v="February"/>
    <x v="372"/>
    <n v="7320"/>
    <s v="Urgent need"/>
    <s v="Over Budget"/>
  </r>
  <r>
    <x v="4"/>
    <s v="Software"/>
    <s v="August"/>
    <x v="373"/>
    <n v="8113"/>
    <s v="NA"/>
    <s v="On Budget"/>
  </r>
  <r>
    <x v="3"/>
    <s v="Training"/>
    <s v="May"/>
    <x v="374"/>
    <n v="9264"/>
    <s v="Delayed approval"/>
    <s v="Over Budget"/>
  </r>
  <r>
    <x v="6"/>
    <s v="Events"/>
    <s v="June"/>
    <x v="375"/>
    <n v="5740"/>
    <s v="Overspend"/>
    <s v="Over Budget"/>
  </r>
  <r>
    <x v="2"/>
    <s v="Equipment"/>
    <s v="June"/>
    <x v="376"/>
    <n v="1281"/>
    <s v="Refund expected"/>
    <s v="On Budget"/>
  </r>
  <r>
    <x v="0"/>
    <s v="Supplies"/>
    <s v="February"/>
    <x v="377"/>
    <n v="4909"/>
    <s v="NA"/>
    <s v="Over Budget"/>
  </r>
  <r>
    <x v="4"/>
    <s v="Equipment"/>
    <s v="May"/>
    <x v="378"/>
    <n v="6535"/>
    <s v="Refund expected"/>
    <s v="Over Budget"/>
  </r>
  <r>
    <x v="0"/>
    <s v="Equipment"/>
    <s v="February"/>
    <x v="379"/>
    <n v="4320"/>
    <s v="NA"/>
    <s v="On Budget"/>
  </r>
  <r>
    <x v="1"/>
    <s v="Travel"/>
    <s v="June"/>
    <x v="380"/>
    <n v="5878"/>
    <s v="NA"/>
    <s v="On Budget"/>
  </r>
  <r>
    <x v="6"/>
    <s v="Software"/>
    <s v="September"/>
    <x v="381"/>
    <n v="1677"/>
    <s v="Refund expected"/>
    <s v="On Budget"/>
  </r>
  <r>
    <x v="5"/>
    <s v="Equipment"/>
    <s v="January"/>
    <x v="382"/>
    <n v="2764"/>
    <s v="Delayed approval"/>
    <s v="On Budget"/>
  </r>
  <r>
    <x v="3"/>
    <s v="Travel"/>
    <s v="August"/>
    <x v="383"/>
    <n v="10256"/>
    <s v="Refund expected"/>
    <s v="Over Budget"/>
  </r>
  <r>
    <x v="3"/>
    <s v="Travel"/>
    <s v="January"/>
    <x v="384"/>
    <n v="10618"/>
    <s v="NA"/>
    <s v="Over Budget"/>
  </r>
  <r>
    <x v="0"/>
    <s v="Training"/>
    <s v="January"/>
    <x v="385"/>
    <n v="7835"/>
    <s v="Overspend"/>
    <s v="Over Budget"/>
  </r>
  <r>
    <x v="4"/>
    <s v="Software"/>
    <s v="September"/>
    <x v="386"/>
    <n v="6591"/>
    <s v="Urgent need"/>
    <s v="Over Budget"/>
  </r>
  <r>
    <x v="6"/>
    <s v="Consulting"/>
    <s v="July"/>
    <x v="387"/>
    <n v="10508"/>
    <s v="Overspend"/>
    <s v="Over Budget"/>
  </r>
  <r>
    <x v="3"/>
    <s v="Consulting"/>
    <s v="April"/>
    <x v="388"/>
    <n v="4112"/>
    <s v="Refund expected"/>
    <s v="On Budget"/>
  </r>
  <r>
    <x v="6"/>
    <s v="Consulting"/>
    <s v="May"/>
    <x v="389"/>
    <n v="11555"/>
    <s v="Refund expected"/>
    <s v="Over Budget"/>
  </r>
  <r>
    <x v="6"/>
    <s v="Supplies"/>
    <s v="May"/>
    <x v="390"/>
    <n v="8404"/>
    <s v="Delayed approval"/>
    <s v="On Budget"/>
  </r>
  <r>
    <x v="6"/>
    <s v="Equipment"/>
    <s v="July"/>
    <x v="391"/>
    <n v="3244"/>
    <s v="Delayed approval"/>
    <s v="On Budget"/>
  </r>
  <r>
    <x v="2"/>
    <s v="Consulting"/>
    <s v="June"/>
    <x v="392"/>
    <n v="10215"/>
    <s v="Overspend"/>
    <s v="Over Budget"/>
  </r>
  <r>
    <x v="3"/>
    <s v="Equipment"/>
    <s v="May"/>
    <x v="393"/>
    <n v="6958"/>
    <s v="Overspend"/>
    <s v="Over Budget"/>
  </r>
  <r>
    <x v="2"/>
    <s v="Software"/>
    <s v="July"/>
    <x v="394"/>
    <n v="10703"/>
    <s v="Overspend"/>
    <s v="Over Budget"/>
  </r>
  <r>
    <x v="6"/>
    <s v="Events"/>
    <s v="August"/>
    <x v="395"/>
    <n v="10599"/>
    <s v="NA"/>
    <s v="Over Budget"/>
  </r>
  <r>
    <x v="5"/>
    <s v="Travel"/>
    <s v="July"/>
    <x v="396"/>
    <n v="3321"/>
    <s v="Overspend"/>
    <s v="Over Budget"/>
  </r>
  <r>
    <x v="3"/>
    <s v="Travel"/>
    <s v="June"/>
    <x v="397"/>
    <n v="5421"/>
    <s v="Delayed approval"/>
    <s v="On Budget"/>
  </r>
  <r>
    <x v="2"/>
    <s v="Software"/>
    <s v="May"/>
    <x v="398"/>
    <n v="2976"/>
    <s v="NA"/>
    <s v="On Budget"/>
  </r>
  <r>
    <x v="1"/>
    <s v="Equipment"/>
    <s v="February"/>
    <x v="399"/>
    <n v="7292"/>
    <s v="Delayed approval"/>
    <s v="Over Budget"/>
  </r>
  <r>
    <x v="1"/>
    <s v="Supplies"/>
    <s v="December"/>
    <x v="400"/>
    <n v="8696"/>
    <s v="Refund expected"/>
    <s v="Over Budget"/>
  </r>
  <r>
    <x v="4"/>
    <s v="Travel"/>
    <s v="September"/>
    <x v="401"/>
    <n v="4368"/>
    <s v="Delayed approval"/>
    <s v="Over Budget"/>
  </r>
  <r>
    <x v="0"/>
    <s v="Software"/>
    <s v="January"/>
    <x v="402"/>
    <n v="8075"/>
    <s v="Urgent need"/>
    <s v="Over Budget"/>
  </r>
  <r>
    <x v="5"/>
    <s v="Travel"/>
    <s v="November"/>
    <x v="403"/>
    <n v="11050"/>
    <s v="NA"/>
    <s v="Over Budget"/>
  </r>
  <r>
    <x v="5"/>
    <s v="Events"/>
    <s v="November"/>
    <x v="404"/>
    <n v="9019"/>
    <s v="NA"/>
    <s v="Over Budget"/>
  </r>
  <r>
    <x v="3"/>
    <s v="Events"/>
    <s v="December"/>
    <x v="405"/>
    <n v="8371"/>
    <s v="Overspend"/>
    <s v="Over Budget"/>
  </r>
  <r>
    <x v="3"/>
    <s v="Supplies"/>
    <s v="June"/>
    <x v="406"/>
    <n v="5009"/>
    <s v="Delayed approval"/>
    <s v="On Budget"/>
  </r>
  <r>
    <x v="1"/>
    <s v="Events"/>
    <s v="February"/>
    <x v="407"/>
    <n v="3671"/>
    <s v="NA"/>
    <s v="On Budget"/>
  </r>
  <r>
    <x v="5"/>
    <s v="Supplies"/>
    <s v="August"/>
    <x v="408"/>
    <n v="10916"/>
    <s v="NA"/>
    <s v="Over Budget"/>
  </r>
  <r>
    <x v="4"/>
    <s v="Consulting"/>
    <s v="February"/>
    <x v="409"/>
    <n v="3641"/>
    <s v="NA"/>
    <s v="On Budget"/>
  </r>
  <r>
    <x v="4"/>
    <s v="Supplies"/>
    <s v="October"/>
    <x v="410"/>
    <n v="11752"/>
    <s v="Refund expected"/>
    <s v="Over Budget"/>
  </r>
  <r>
    <x v="6"/>
    <s v="Software"/>
    <s v="November"/>
    <x v="411"/>
    <n v="10915"/>
    <s v="NA"/>
    <s v="Over Budget"/>
  </r>
  <r>
    <x v="4"/>
    <s v="Travel"/>
    <s v="December"/>
    <x v="412"/>
    <n v="11179"/>
    <s v="NA"/>
    <s v="Over Budget"/>
  </r>
  <r>
    <x v="0"/>
    <s v="Software"/>
    <s v="May"/>
    <x v="401"/>
    <n v="864"/>
    <s v="Delayed approval"/>
    <s v="On Budget"/>
  </r>
  <r>
    <x v="1"/>
    <s v="Consulting"/>
    <s v="April"/>
    <x v="413"/>
    <n v="5280"/>
    <s v="Refund expected"/>
    <s v="On Budget"/>
  </r>
  <r>
    <x v="5"/>
    <s v="Training"/>
    <s v="December"/>
    <x v="153"/>
    <n v="10869"/>
    <s v="Delayed approval"/>
    <s v="Over Budget"/>
  </r>
  <r>
    <x v="3"/>
    <s v="Training"/>
    <s v="January"/>
    <x v="414"/>
    <n v="8256"/>
    <s v="Overspend"/>
    <s v="On Budget"/>
  </r>
  <r>
    <x v="0"/>
    <s v="Travel"/>
    <s v="July"/>
    <x v="415"/>
    <n v="9194"/>
    <s v="Urgent need"/>
    <s v="Over Budget"/>
  </r>
  <r>
    <x v="4"/>
    <s v="Equipment"/>
    <s v="December"/>
    <x v="416"/>
    <n v="6863"/>
    <s v="Delayed approval"/>
    <s v="Over Budget"/>
  </r>
  <r>
    <x v="5"/>
    <s v="Events"/>
    <s v="September"/>
    <x v="417"/>
    <n v="2542"/>
    <s v="Delayed approval"/>
    <s v="On Budget"/>
  </r>
  <r>
    <x v="1"/>
    <s v="Consulting"/>
    <s v="January"/>
    <x v="418"/>
    <n v="4732"/>
    <s v="Urgent need"/>
    <s v="On Budget"/>
  </r>
  <r>
    <x v="3"/>
    <s v="Supplies"/>
    <s v="June"/>
    <x v="419"/>
    <n v="7890"/>
    <s v="Delayed approval"/>
    <s v="On Budget"/>
  </r>
  <r>
    <x v="1"/>
    <s v="Supplies"/>
    <s v="August"/>
    <x v="420"/>
    <n v="3660"/>
    <s v="Delayed approval"/>
    <s v="On Budget"/>
  </r>
  <r>
    <x v="6"/>
    <s v="Supplies"/>
    <s v="January"/>
    <x v="421"/>
    <n v="5287"/>
    <s v="NA"/>
    <s v="On Budget"/>
  </r>
  <r>
    <x v="6"/>
    <s v="Consulting"/>
    <s v="June"/>
    <x v="422"/>
    <n v="5118"/>
    <s v="NA"/>
    <s v="Over Budget"/>
  </r>
  <r>
    <x v="2"/>
    <s v="Events"/>
    <s v="August"/>
    <x v="423"/>
    <n v="4180"/>
    <s v="Overspend"/>
    <s v="On Budget"/>
  </r>
  <r>
    <x v="4"/>
    <s v="Supplies"/>
    <s v="January"/>
    <x v="424"/>
    <n v="11675"/>
    <s v="Overspend"/>
    <s v="Over Budget"/>
  </r>
  <r>
    <x v="1"/>
    <s v="Training"/>
    <s v="January"/>
    <x v="425"/>
    <n v="8373"/>
    <s v="Delayed approval"/>
    <s v="Over Budget"/>
  </r>
  <r>
    <x v="3"/>
    <s v="Consulting"/>
    <s v="December"/>
    <x v="426"/>
    <n v="11043"/>
    <s v="Refund expected"/>
    <s v="Over Budget"/>
  </r>
  <r>
    <x v="3"/>
    <s v="Events"/>
    <s v="November"/>
    <x v="427"/>
    <n v="6466"/>
    <s v="NA"/>
    <s v="On Budget"/>
  </r>
  <r>
    <x v="3"/>
    <s v="Software"/>
    <s v="March"/>
    <x v="428"/>
    <n v="4554"/>
    <s v="Overspend"/>
    <s v="Over Budget"/>
  </r>
  <r>
    <x v="5"/>
    <s v="Travel"/>
    <s v="October"/>
    <x v="429"/>
    <n v="8338"/>
    <s v="Urgent need"/>
    <s v="Over Budget"/>
  </r>
  <r>
    <x v="0"/>
    <s v="Travel"/>
    <s v="October"/>
    <x v="430"/>
    <n v="7488"/>
    <s v="NA"/>
    <s v="Over Budget"/>
  </r>
  <r>
    <x v="5"/>
    <s v="Travel"/>
    <s v="March"/>
    <x v="431"/>
    <n v="11633"/>
    <s v="Delayed approval"/>
    <s v="Over Budget"/>
  </r>
  <r>
    <x v="4"/>
    <s v="Travel"/>
    <s v="February"/>
    <x v="419"/>
    <n v="6073"/>
    <s v="Urgent need"/>
    <s v="On Budget"/>
  </r>
  <r>
    <x v="5"/>
    <s v="Equipment"/>
    <s v="May"/>
    <x v="432"/>
    <n v="7714"/>
    <s v="NA"/>
    <s v="Over Budget"/>
  </r>
  <r>
    <x v="2"/>
    <s v="Training"/>
    <s v="March"/>
    <x v="433"/>
    <n v="1674"/>
    <s v="Overspend"/>
    <s v="On Budget"/>
  </r>
  <r>
    <x v="0"/>
    <s v="Supplies"/>
    <s v="September"/>
    <x v="434"/>
    <n v="3376"/>
    <s v="Delayed approval"/>
    <s v="On Budget"/>
  </r>
  <r>
    <x v="1"/>
    <s v="Equipment"/>
    <s v="June"/>
    <x v="435"/>
    <n v="6967"/>
    <s v="Refund expected"/>
    <s v="Over Budget"/>
  </r>
  <r>
    <x v="4"/>
    <s v="Events"/>
    <s v="March"/>
    <x v="436"/>
    <n v="2121"/>
    <s v="Urgent need"/>
    <s v="On Budget"/>
  </r>
  <r>
    <x v="5"/>
    <s v="Events"/>
    <s v="February"/>
    <x v="437"/>
    <n v="11357"/>
    <s v="Overspend"/>
    <s v="Over Budget"/>
  </r>
  <r>
    <x v="4"/>
    <s v="Software"/>
    <s v="September"/>
    <x v="438"/>
    <n v="5008"/>
    <s v="Delayed approval"/>
    <s v="Over Budget"/>
  </r>
  <r>
    <x v="2"/>
    <s v="Travel"/>
    <s v="March"/>
    <x v="439"/>
    <n v="5702"/>
    <s v="Overspend"/>
    <s v="Over Budget"/>
  </r>
  <r>
    <x v="5"/>
    <s v="Supplies"/>
    <s v="September"/>
    <x v="440"/>
    <n v="7355"/>
    <s v="Urgent need"/>
    <s v="Over Budget"/>
  </r>
  <r>
    <x v="6"/>
    <s v="Equipment"/>
    <s v="September"/>
    <x v="441"/>
    <n v="11701"/>
    <s v="Refund expected"/>
    <s v="Over Budget"/>
  </r>
  <r>
    <x v="5"/>
    <s v="Software"/>
    <s v="February"/>
    <x v="442"/>
    <n v="10423"/>
    <s v="Urgent need"/>
    <s v="Over Budget"/>
  </r>
  <r>
    <x v="2"/>
    <s v="Travel"/>
    <s v="July"/>
    <x v="284"/>
    <n v="11796"/>
    <s v="Urgent need"/>
    <s v="Over Budget"/>
  </r>
  <r>
    <x v="0"/>
    <s v="Software"/>
    <s v="May"/>
    <x v="197"/>
    <n v="1301"/>
    <s v="Delayed approval"/>
    <s v="On Budget"/>
  </r>
  <r>
    <x v="3"/>
    <s v="Equipment"/>
    <s v="November"/>
    <x v="443"/>
    <n v="1404"/>
    <s v="NA"/>
    <s v="On Budget"/>
  </r>
  <r>
    <x v="1"/>
    <s v="Supplies"/>
    <s v="November"/>
    <x v="444"/>
    <n v="4818"/>
    <s v="Urgent need"/>
    <s v="Over Budget"/>
  </r>
  <r>
    <x v="0"/>
    <s v="Supplies"/>
    <s v="October"/>
    <x v="445"/>
    <n v="1833"/>
    <s v="NA"/>
    <s v="On Budget"/>
  </r>
  <r>
    <x v="6"/>
    <s v="Equipment"/>
    <s v="August"/>
    <x v="446"/>
    <n v="3418"/>
    <s v="Delayed approval"/>
    <s v="On Budget"/>
  </r>
  <r>
    <x v="0"/>
    <s v="Software"/>
    <s v="August"/>
    <x v="447"/>
    <n v="5797"/>
    <s v="Refund expected"/>
    <s v="Over Budget"/>
  </r>
  <r>
    <x v="6"/>
    <s v="Travel"/>
    <s v="April"/>
    <x v="448"/>
    <n v="4164"/>
    <s v="Refund expected"/>
    <s v="On Budget"/>
  </r>
  <r>
    <x v="2"/>
    <s v="Consulting"/>
    <s v="March"/>
    <x v="449"/>
    <n v="2736"/>
    <s v="Delayed approval"/>
    <s v="On Budget"/>
  </r>
  <r>
    <x v="1"/>
    <s v="Training"/>
    <s v="October"/>
    <x v="450"/>
    <n v="2783"/>
    <s v="Overspend"/>
    <s v="On Budget"/>
  </r>
  <r>
    <x v="1"/>
    <s v="Consulting"/>
    <s v="June"/>
    <x v="451"/>
    <n v="6681"/>
    <s v="Refund expected"/>
    <s v="On Budget"/>
  </r>
  <r>
    <x v="1"/>
    <s v="Consulting"/>
    <s v="December"/>
    <x v="452"/>
    <n v="4990"/>
    <s v="Refund expected"/>
    <s v="Over Budget"/>
  </r>
  <r>
    <x v="0"/>
    <s v="Equipment"/>
    <s v="June"/>
    <x v="453"/>
    <n v="1195"/>
    <s v="Overspend"/>
    <s v="On Budget"/>
  </r>
  <r>
    <x v="4"/>
    <s v="Travel"/>
    <s v="June"/>
    <x v="454"/>
    <n v="9253"/>
    <s v="Refund expected"/>
    <s v="Over Budget"/>
  </r>
  <r>
    <x v="0"/>
    <s v="Training"/>
    <s v="September"/>
    <x v="412"/>
    <n v="10601"/>
    <s v="Delayed approval"/>
    <s v="Over Budget"/>
  </r>
  <r>
    <x v="5"/>
    <s v="Consulting"/>
    <s v="December"/>
    <x v="455"/>
    <n v="8355"/>
    <s v="Delayed approval"/>
    <s v="Over Budget"/>
  </r>
  <r>
    <x v="0"/>
    <s v="Training"/>
    <s v="March"/>
    <x v="456"/>
    <n v="1038"/>
    <s v="Overspend"/>
    <s v="On Budget"/>
  </r>
  <r>
    <x v="2"/>
    <s v="Software"/>
    <s v="June"/>
    <x v="457"/>
    <n v="2714"/>
    <s v="NA"/>
    <s v="On Budget"/>
  </r>
  <r>
    <x v="6"/>
    <s v="Supplies"/>
    <s v="September"/>
    <x v="458"/>
    <n v="6119"/>
    <s v="Overspend"/>
    <s v="Over Budget"/>
  </r>
  <r>
    <x v="3"/>
    <s v="Travel"/>
    <s v="April"/>
    <x v="459"/>
    <n v="8010"/>
    <s v="Delayed approval"/>
    <s v="Over Budget"/>
  </r>
  <r>
    <x v="3"/>
    <s v="Supplies"/>
    <s v="July"/>
    <x v="460"/>
    <n v="11438"/>
    <s v="Refund expected"/>
    <s v="Over Budget"/>
  </r>
  <r>
    <x v="6"/>
    <s v="Training"/>
    <s v="July"/>
    <x v="461"/>
    <n v="9511"/>
    <s v="Overspend"/>
    <s v="Over Budget"/>
  </r>
  <r>
    <x v="5"/>
    <s v="Events"/>
    <s v="October"/>
    <x v="462"/>
    <n v="1829"/>
    <s v="Urgent need"/>
    <s v="On Budget"/>
  </r>
  <r>
    <x v="2"/>
    <s v="Events"/>
    <s v="April"/>
    <x v="174"/>
    <n v="8005"/>
    <s v="NA"/>
    <s v="Over Budget"/>
  </r>
  <r>
    <x v="2"/>
    <s v="Software"/>
    <s v="October"/>
    <x v="463"/>
    <n v="2584"/>
    <s v="NA"/>
    <s v="On Budget"/>
  </r>
  <r>
    <x v="2"/>
    <s v="Training"/>
    <s v="September"/>
    <x v="464"/>
    <n v="5056"/>
    <s v="Refund expected"/>
    <s v="On Budget"/>
  </r>
  <r>
    <x v="0"/>
    <s v="Equipment"/>
    <s v="July"/>
    <x v="465"/>
    <n v="4762"/>
    <s v="Refund expected"/>
    <s v="On Budget"/>
  </r>
  <r>
    <x v="3"/>
    <s v="Travel"/>
    <s v="August"/>
    <x v="466"/>
    <n v="6795"/>
    <s v="Overspend"/>
    <s v="Over Budget"/>
  </r>
  <r>
    <x v="5"/>
    <s v="Supplies"/>
    <s v="July"/>
    <x v="467"/>
    <n v="5194"/>
    <s v="Refund expected"/>
    <s v="Over Budget"/>
  </r>
  <r>
    <x v="0"/>
    <s v="Consulting"/>
    <s v="June"/>
    <x v="468"/>
    <n v="8572"/>
    <s v="Delayed approval"/>
    <s v="Over Budget"/>
  </r>
  <r>
    <x v="6"/>
    <s v="Travel"/>
    <s v="August"/>
    <x v="469"/>
    <n v="5012"/>
    <s v="Refund expected"/>
    <s v="Over Budget"/>
  </r>
  <r>
    <x v="1"/>
    <s v="Equipment"/>
    <s v="January"/>
    <x v="470"/>
    <n v="4554"/>
    <s v="NA"/>
    <s v="On Budget"/>
  </r>
  <r>
    <x v="2"/>
    <s v="Software"/>
    <s v="December"/>
    <x v="471"/>
    <n v="4130"/>
    <s v="Refund expected"/>
    <s v="Over Budget"/>
  </r>
  <r>
    <x v="6"/>
    <s v="Events"/>
    <s v="November"/>
    <x v="472"/>
    <n v="5760"/>
    <s v="Refund expected"/>
    <s v="On Budget"/>
  </r>
  <r>
    <x v="4"/>
    <s v="Consulting"/>
    <s v="May"/>
    <x v="473"/>
    <n v="4565"/>
    <s v="Overspend"/>
    <s v="On Budget"/>
  </r>
  <r>
    <x v="3"/>
    <s v="Supplies"/>
    <s v="November"/>
    <x v="474"/>
    <n v="3905"/>
    <s v="NA"/>
    <s v="On Budget"/>
  </r>
  <r>
    <x v="5"/>
    <s v="Travel"/>
    <s v="January"/>
    <x v="475"/>
    <n v="2334"/>
    <s v="Overspend"/>
    <s v="On Budget"/>
  </r>
  <r>
    <x v="6"/>
    <s v="Software"/>
    <s v="March"/>
    <x v="476"/>
    <n v="10767"/>
    <s v="Delayed approval"/>
    <s v="Over Budget"/>
  </r>
  <r>
    <x v="5"/>
    <s v="Consulting"/>
    <s v="June"/>
    <x v="477"/>
    <n v="7247"/>
    <s v="NA"/>
    <s v="On Budget"/>
  </r>
  <r>
    <x v="4"/>
    <s v="Supplies"/>
    <s v="August"/>
    <x v="478"/>
    <n v="2580"/>
    <s v="Urgent need"/>
    <s v="On Budget"/>
  </r>
  <r>
    <x v="1"/>
    <s v="Supplies"/>
    <s v="July"/>
    <x v="479"/>
    <n v="8071"/>
    <s v="Delayed approval"/>
    <s v="On Budget"/>
  </r>
  <r>
    <x v="3"/>
    <s v="Travel"/>
    <s v="September"/>
    <x v="480"/>
    <n v="8083"/>
    <s v="Delayed approval"/>
    <s v="Over Budget"/>
  </r>
  <r>
    <x v="5"/>
    <s v="Travel"/>
    <s v="May"/>
    <x v="481"/>
    <n v="7854"/>
    <s v="Overspend"/>
    <s v="Over Budget"/>
  </r>
  <r>
    <x v="5"/>
    <s v="Supplies"/>
    <s v="May"/>
    <x v="482"/>
    <n v="11503"/>
    <s v="NA"/>
    <s v="Over Budget"/>
  </r>
  <r>
    <x v="5"/>
    <s v="Software"/>
    <s v="January"/>
    <x v="483"/>
    <n v="7748"/>
    <s v="Overspend"/>
    <s v="On Budget"/>
  </r>
  <r>
    <x v="0"/>
    <s v="Training"/>
    <s v="March"/>
    <x v="484"/>
    <n v="2390"/>
    <s v="Urgent need"/>
    <s v="On Budget"/>
  </r>
  <r>
    <x v="3"/>
    <s v="Software"/>
    <s v="February"/>
    <x v="485"/>
    <n v="4536"/>
    <s v="Delayed approval"/>
    <s v="On Budget"/>
  </r>
  <r>
    <x v="0"/>
    <s v="Equipment"/>
    <s v="November"/>
    <x v="486"/>
    <n v="2157"/>
    <s v="NA"/>
    <s v="On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3E8C7-3104-4AF1-85ED-D5B3F01DCC60}" name="Actual vs Planned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10" firstHeaderRow="0" firstDataRow="1" firstDataCol="1"/>
  <pivotFields count="7">
    <pivotField axis="axisRow" showAll="0">
      <items count="8">
        <item x="6"/>
        <item x="0"/>
        <item x="3"/>
        <item x="2"/>
        <item x="4"/>
        <item x="5"/>
        <item x="1"/>
        <item t="default"/>
      </items>
    </pivotField>
    <pivotField showAll="0"/>
    <pivotField showAll="0"/>
    <pivotField dataField="1" showAll="0">
      <items count="488">
        <item x="481"/>
        <item x="82"/>
        <item x="363"/>
        <item x="438"/>
        <item x="217"/>
        <item x="305"/>
        <item x="412"/>
        <item x="261"/>
        <item x="393"/>
        <item x="114"/>
        <item x="301"/>
        <item x="77"/>
        <item x="337"/>
        <item x="29"/>
        <item x="298"/>
        <item x="141"/>
        <item x="122"/>
        <item x="469"/>
        <item x="378"/>
        <item x="88"/>
        <item x="447"/>
        <item x="103"/>
        <item x="392"/>
        <item x="162"/>
        <item x="206"/>
        <item x="415"/>
        <item x="440"/>
        <item x="188"/>
        <item x="344"/>
        <item x="63"/>
        <item x="118"/>
        <item x="42"/>
        <item x="262"/>
        <item x="467"/>
        <item x="205"/>
        <item x="131"/>
        <item x="399"/>
        <item x="458"/>
        <item x="228"/>
        <item x="395"/>
        <item x="422"/>
        <item x="123"/>
        <item x="400"/>
        <item x="130"/>
        <item x="14"/>
        <item x="113"/>
        <item x="115"/>
        <item x="295"/>
        <item x="452"/>
        <item x="89"/>
        <item x="170"/>
        <item x="288"/>
        <item x="358"/>
        <item x="248"/>
        <item x="437"/>
        <item x="304"/>
        <item x="333"/>
        <item x="210"/>
        <item x="117"/>
        <item x="182"/>
        <item x="78"/>
        <item x="277"/>
        <item x="75"/>
        <item x="365"/>
        <item x="263"/>
        <item x="303"/>
        <item x="201"/>
        <item x="431"/>
        <item x="62"/>
        <item x="480"/>
        <item x="375"/>
        <item x="220"/>
        <item x="317"/>
        <item x="55"/>
        <item x="428"/>
        <item x="59"/>
        <item x="207"/>
        <item x="216"/>
        <item x="315"/>
        <item x="124"/>
        <item x="38"/>
        <item x="187"/>
        <item x="219"/>
        <item x="471"/>
        <item x="98"/>
        <item x="271"/>
        <item x="60"/>
        <item x="417"/>
        <item x="312"/>
        <item x="12"/>
        <item x="466"/>
        <item x="58"/>
        <item x="72"/>
        <item x="348"/>
        <item x="334"/>
        <item x="11"/>
        <item x="101"/>
        <item x="108"/>
        <item x="405"/>
        <item x="9"/>
        <item x="226"/>
        <item x="107"/>
        <item x="444"/>
        <item x="376"/>
        <item x="401"/>
        <item x="396"/>
        <item x="223"/>
        <item x="394"/>
        <item x="383"/>
        <item x="435"/>
        <item x="385"/>
        <item x="33"/>
        <item x="439"/>
        <item x="17"/>
        <item x="68"/>
        <item x="335"/>
        <item x="102"/>
        <item x="159"/>
        <item x="61"/>
        <item x="402"/>
        <item x="158"/>
        <item x="293"/>
        <item x="146"/>
        <item x="374"/>
        <item x="284"/>
        <item x="360"/>
        <item x="209"/>
        <item x="221"/>
        <item x="119"/>
        <item x="283"/>
        <item x="476"/>
        <item x="166"/>
        <item x="164"/>
        <item x="87"/>
        <item x="36"/>
        <item x="127"/>
        <item x="121"/>
        <item x="257"/>
        <item x="28"/>
        <item x="48"/>
        <item x="50"/>
        <item x="222"/>
        <item x="329"/>
        <item x="69"/>
        <item x="174"/>
        <item x="252"/>
        <item x="49"/>
        <item x="116"/>
        <item x="147"/>
        <item x="97"/>
        <item x="73"/>
        <item x="15"/>
        <item x="13"/>
        <item x="462"/>
        <item x="208"/>
        <item x="198"/>
        <item x="279"/>
        <item x="314"/>
        <item x="367"/>
        <item x="90"/>
        <item x="281"/>
        <item x="3"/>
        <item x="26"/>
        <item x="441"/>
        <item x="44"/>
        <item x="203"/>
        <item x="237"/>
        <item x="212"/>
        <item x="384"/>
        <item x="266"/>
        <item x="96"/>
        <item x="265"/>
        <item x="135"/>
        <item x="161"/>
        <item x="191"/>
        <item x="324"/>
        <item x="379"/>
        <item x="432"/>
        <item x="235"/>
        <item x="326"/>
        <item x="71"/>
        <item x="386"/>
        <item x="377"/>
        <item x="369"/>
        <item x="371"/>
        <item x="240"/>
        <item x="372"/>
        <item x="19"/>
        <item x="213"/>
        <item x="268"/>
        <item x="53"/>
        <item x="300"/>
        <item x="287"/>
        <item x="10"/>
        <item x="132"/>
        <item x="105"/>
        <item x="211"/>
        <item x="65"/>
        <item x="153"/>
        <item x="331"/>
        <item x="51"/>
        <item x="389"/>
        <item x="308"/>
        <item x="411"/>
        <item x="243"/>
        <item x="320"/>
        <item x="238"/>
        <item x="272"/>
        <item x="478"/>
        <item x="175"/>
        <item x="110"/>
        <item x="341"/>
        <item x="294"/>
        <item x="32"/>
        <item x="345"/>
        <item x="83"/>
        <item x="94"/>
        <item x="270"/>
        <item x="142"/>
        <item x="350"/>
        <item x="233"/>
        <item x="34"/>
        <item x="247"/>
        <item x="420"/>
        <item x="346"/>
        <item x="311"/>
        <item x="347"/>
        <item x="76"/>
        <item x="224"/>
        <item x="409"/>
        <item x="128"/>
        <item x="236"/>
        <item x="99"/>
        <item x="429"/>
        <item x="274"/>
        <item x="310"/>
        <item x="433"/>
        <item x="246"/>
        <item x="368"/>
        <item x="430"/>
        <item x="145"/>
        <item x="325"/>
        <item x="196"/>
        <item x="404"/>
        <item x="180"/>
        <item x="291"/>
        <item x="27"/>
        <item x="178"/>
        <item x="2"/>
        <item x="484"/>
        <item x="482"/>
        <item x="407"/>
        <item x="229"/>
        <item x="445"/>
        <item x="129"/>
        <item x="446"/>
        <item x="356"/>
        <item x="194"/>
        <item x="168"/>
        <item x="57"/>
        <item x="470"/>
        <item x="251"/>
        <item x="193"/>
        <item x="234"/>
        <item x="256"/>
        <item x="104"/>
        <item x="253"/>
        <item x="171"/>
        <item x="397"/>
        <item x="148"/>
        <item x="339"/>
        <item x="463"/>
        <item x="342"/>
        <item x="460"/>
        <item x="5"/>
        <item x="35"/>
        <item x="264"/>
        <item x="181"/>
        <item x="45"/>
        <item x="190"/>
        <item x="22"/>
        <item x="416"/>
        <item x="449"/>
        <item x="154"/>
        <item x="425"/>
        <item x="302"/>
        <item x="126"/>
        <item x="403"/>
        <item x="434"/>
        <item x="133"/>
        <item x="202"/>
        <item x="95"/>
        <item x="54"/>
        <item x="23"/>
        <item x="21"/>
        <item x="16"/>
        <item x="307"/>
        <item x="100"/>
        <item x="111"/>
        <item x="39"/>
        <item x="297"/>
        <item x="66"/>
        <item x="353"/>
        <item x="173"/>
        <item x="18"/>
        <item x="380"/>
        <item x="338"/>
        <item x="322"/>
        <item x="319"/>
        <item x="352"/>
        <item x="225"/>
        <item x="318"/>
        <item x="453"/>
        <item x="155"/>
        <item x="421"/>
        <item x="150"/>
        <item x="362"/>
        <item x="214"/>
        <item x="474"/>
        <item x="93"/>
        <item x="459"/>
        <item x="296"/>
        <item x="451"/>
        <item x="306"/>
        <item x="280"/>
        <item x="355"/>
        <item x="52"/>
        <item x="151"/>
        <item x="255"/>
        <item x="67"/>
        <item x="366"/>
        <item x="227"/>
        <item x="143"/>
        <item x="156"/>
        <item x="448"/>
        <item x="74"/>
        <item x="285"/>
        <item x="286"/>
        <item x="258"/>
        <item x="278"/>
        <item x="328"/>
        <item x="242"/>
        <item x="267"/>
        <item x="323"/>
        <item x="260"/>
        <item x="139"/>
        <item x="455"/>
        <item x="370"/>
        <item x="64"/>
        <item x="136"/>
        <item x="183"/>
        <item x="276"/>
        <item x="275"/>
        <item x="343"/>
        <item x="282"/>
        <item x="457"/>
        <item x="239"/>
        <item x="309"/>
        <item x="468"/>
        <item x="163"/>
        <item x="332"/>
        <item x="176"/>
        <item x="86"/>
        <item x="185"/>
        <item x="197"/>
        <item x="464"/>
        <item x="241"/>
        <item x="70"/>
        <item x="382"/>
        <item x="134"/>
        <item x="443"/>
        <item x="321"/>
        <item x="215"/>
        <item x="43"/>
        <item x="426"/>
        <item x="456"/>
        <item x="327"/>
        <item x="450"/>
        <item x="24"/>
        <item x="112"/>
        <item x="254"/>
        <item x="454"/>
        <item x="485"/>
        <item x="436"/>
        <item x="92"/>
        <item x="461"/>
        <item x="165"/>
        <item x="79"/>
        <item x="475"/>
        <item x="152"/>
        <item x="125"/>
        <item x="37"/>
        <item x="465"/>
        <item x="442"/>
        <item x="177"/>
        <item x="479"/>
        <item x="144"/>
        <item x="250"/>
        <item x="361"/>
        <item x="316"/>
        <item x="218"/>
        <item x="299"/>
        <item x="473"/>
        <item x="149"/>
        <item x="381"/>
        <item x="273"/>
        <item x="477"/>
        <item x="249"/>
        <item x="186"/>
        <item x="200"/>
        <item x="184"/>
        <item x="483"/>
        <item x="91"/>
        <item x="47"/>
        <item x="406"/>
        <item x="189"/>
        <item x="351"/>
        <item x="391"/>
        <item x="373"/>
        <item x="387"/>
        <item x="410"/>
        <item x="398"/>
        <item x="0"/>
        <item x="414"/>
        <item x="41"/>
        <item x="204"/>
        <item x="138"/>
        <item x="340"/>
        <item x="157"/>
        <item x="46"/>
        <item x="4"/>
        <item x="109"/>
        <item x="336"/>
        <item x="231"/>
        <item x="245"/>
        <item x="195"/>
        <item x="140"/>
        <item x="289"/>
        <item x="230"/>
        <item x="424"/>
        <item x="259"/>
        <item x="418"/>
        <item x="8"/>
        <item x="80"/>
        <item x="120"/>
        <item x="292"/>
        <item x="7"/>
        <item x="85"/>
        <item x="192"/>
        <item x="269"/>
        <item x="388"/>
        <item x="20"/>
        <item x="330"/>
        <item x="359"/>
        <item x="1"/>
        <item x="357"/>
        <item x="160"/>
        <item x="56"/>
        <item x="413"/>
        <item x="290"/>
        <item x="354"/>
        <item x="31"/>
        <item x="30"/>
        <item x="408"/>
        <item x="486"/>
        <item x="313"/>
        <item x="172"/>
        <item x="423"/>
        <item x="81"/>
        <item x="390"/>
        <item x="472"/>
        <item x="419"/>
        <item x="106"/>
        <item x="232"/>
        <item x="179"/>
        <item x="364"/>
        <item x="167"/>
        <item x="349"/>
        <item x="137"/>
        <item x="427"/>
        <item x="40"/>
        <item x="244"/>
        <item x="6"/>
        <item x="25"/>
        <item x="199"/>
        <item x="84"/>
        <item x="169"/>
        <item t="default"/>
      </items>
    </pivotField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um of Planned Budget ($)" fld="3" baseField="0" baseItem="0"/>
    <dataField name="Sum of Actual Spend ($)" fld="4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EF5F-57EA-4DA7-B751-6E7DAC1AEAB2}" name="Expense" displayName="Expense" ref="A1:G501" headerRowDxfId="20" dataDxfId="18" headerRowBorderDxfId="19" tableBorderDxfId="17" totalsRowBorderDxfId="16">
  <autoFilter ref="A1:G501" xr:uid="{9152EF5F-57EA-4DA7-B751-6E7DAC1AEAB2}"/>
  <tableColumns count="7">
    <tableColumn id="1" xr3:uid="{6261D07D-32D4-4F32-953D-CF1405F1CF82}" name="Department" totalsRowLabel="Total" dataDxfId="15" totalsRowDxfId="14"/>
    <tableColumn id="2" xr3:uid="{B707C642-D202-4110-8295-33851841244F}" name="Category" dataDxfId="13" totalsRowDxfId="12"/>
    <tableColumn id="3" xr3:uid="{AAF9CEE7-9C93-4485-A6AC-2246D5F030C2}" name="Month" dataDxfId="11" totalsRowDxfId="10"/>
    <tableColumn id="4" xr3:uid="{8AA3B11B-EDCA-472D-BF62-C196C2F846F1}" name="Planned Budget ($)" dataDxfId="9" totalsRowDxfId="8"/>
    <tableColumn id="5" xr3:uid="{5019A20D-63D6-4B69-BD1A-7DEB6D6A0905}" name="Actual Spend ($)" dataDxfId="7" totalsRowDxfId="6"/>
    <tableColumn id="6" xr3:uid="{29398C18-4272-4EA2-8CB3-9D25EC73C7E4}" name="Notes" dataDxfId="5" totalsRowDxfId="4"/>
    <tableColumn id="7" xr3:uid="{660E5929-3892-4619-AE9E-45DF0961D1AD}" name="Budget Status" totalsRowFunction="count" dataDxfId="3" totalsRowDxfId="2">
      <calculatedColumnFormula>IF('Expense Data'!E2&lt;='Expense Data'!D2,"On Budget","Over Budget")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B5C0-8C35-4B14-A2B2-5954E89AD1CC}">
  <dimension ref="A1:B34"/>
  <sheetViews>
    <sheetView tabSelected="1" workbookViewId="0">
      <selection activeCell="F11" sqref="F11"/>
    </sheetView>
  </sheetViews>
  <sheetFormatPr defaultRowHeight="14.4" x14ac:dyDescent="0.3"/>
  <cols>
    <col min="1" max="1" width="65.21875" bestFit="1" customWidth="1"/>
    <col min="2" max="2" width="66.77734375" bestFit="1" customWidth="1"/>
  </cols>
  <sheetData>
    <row r="1" spans="1:2" ht="18" x14ac:dyDescent="0.35">
      <c r="A1" s="21" t="s">
        <v>45</v>
      </c>
      <c r="B1" s="22"/>
    </row>
    <row r="3" spans="1:2" x14ac:dyDescent="0.3">
      <c r="A3" s="17" t="s">
        <v>46</v>
      </c>
      <c r="B3" s="18"/>
    </row>
    <row r="4" spans="1:2" ht="28.8" x14ac:dyDescent="0.3">
      <c r="A4" s="19" t="s">
        <v>47</v>
      </c>
      <c r="B4" s="20" t="s">
        <v>48</v>
      </c>
    </row>
    <row r="5" spans="1:2" x14ac:dyDescent="0.3">
      <c r="A5" s="19" t="s">
        <v>49</v>
      </c>
      <c r="B5" s="20" t="s">
        <v>50</v>
      </c>
    </row>
    <row r="6" spans="1:2" x14ac:dyDescent="0.3">
      <c r="A6" s="19" t="s">
        <v>51</v>
      </c>
      <c r="B6" s="20" t="s">
        <v>52</v>
      </c>
    </row>
    <row r="7" spans="1:2" x14ac:dyDescent="0.3">
      <c r="A7" s="19" t="s">
        <v>53</v>
      </c>
      <c r="B7" s="20" t="s">
        <v>54</v>
      </c>
    </row>
    <row r="8" spans="1:2" x14ac:dyDescent="0.3">
      <c r="A8" s="1"/>
    </row>
    <row r="9" spans="1:2" x14ac:dyDescent="0.3">
      <c r="A9" s="17" t="s">
        <v>55</v>
      </c>
      <c r="B9" s="18"/>
    </row>
    <row r="10" spans="1:2" x14ac:dyDescent="0.3">
      <c r="A10" s="19" t="s">
        <v>47</v>
      </c>
      <c r="B10" s="20" t="s">
        <v>56</v>
      </c>
    </row>
    <row r="11" spans="1:2" ht="43.2" x14ac:dyDescent="0.3">
      <c r="A11" s="19" t="s">
        <v>57</v>
      </c>
      <c r="B11" s="20" t="s">
        <v>58</v>
      </c>
    </row>
    <row r="12" spans="1:2" ht="28.8" x14ac:dyDescent="0.3">
      <c r="A12" s="19" t="s">
        <v>59</v>
      </c>
      <c r="B12" s="20" t="s">
        <v>60</v>
      </c>
    </row>
    <row r="13" spans="1:2" x14ac:dyDescent="0.3">
      <c r="A13" s="19" t="s">
        <v>61</v>
      </c>
      <c r="B13" s="20" t="s">
        <v>62</v>
      </c>
    </row>
    <row r="14" spans="1:2" x14ac:dyDescent="0.3">
      <c r="A14" s="19" t="s">
        <v>63</v>
      </c>
      <c r="B14" s="20" t="s">
        <v>64</v>
      </c>
    </row>
    <row r="15" spans="1:2" x14ac:dyDescent="0.3">
      <c r="A15" s="19" t="s">
        <v>65</v>
      </c>
      <c r="B15" s="20" t="s">
        <v>66</v>
      </c>
    </row>
    <row r="16" spans="1:2" x14ac:dyDescent="0.3">
      <c r="A16" s="19" t="s">
        <v>67</v>
      </c>
      <c r="B16" s="20" t="s">
        <v>68</v>
      </c>
    </row>
    <row r="17" spans="1:2" x14ac:dyDescent="0.3">
      <c r="A17" s="19" t="s">
        <v>69</v>
      </c>
      <c r="B17" s="20" t="s">
        <v>70</v>
      </c>
    </row>
    <row r="18" spans="1:2" x14ac:dyDescent="0.3">
      <c r="A18" s="19" t="s">
        <v>71</v>
      </c>
      <c r="B18" s="20" t="s">
        <v>72</v>
      </c>
    </row>
    <row r="19" spans="1:2" x14ac:dyDescent="0.3">
      <c r="A19" s="19" t="s">
        <v>73</v>
      </c>
      <c r="B19" s="20" t="s">
        <v>74</v>
      </c>
    </row>
    <row r="21" spans="1:2" x14ac:dyDescent="0.3">
      <c r="A21" s="17" t="s">
        <v>75</v>
      </c>
      <c r="B21" s="18"/>
    </row>
    <row r="22" spans="1:2" ht="28.8" x14ac:dyDescent="0.3">
      <c r="A22" s="19" t="s">
        <v>47</v>
      </c>
      <c r="B22" s="20" t="s">
        <v>76</v>
      </c>
    </row>
    <row r="23" spans="1:2" ht="43.2" x14ac:dyDescent="0.3">
      <c r="A23" s="19" t="s">
        <v>57</v>
      </c>
      <c r="B23" s="20" t="s">
        <v>77</v>
      </c>
    </row>
    <row r="24" spans="1:2" ht="28.8" x14ac:dyDescent="0.3">
      <c r="A24" s="19" t="s">
        <v>51</v>
      </c>
      <c r="B24" s="20" t="s">
        <v>78</v>
      </c>
    </row>
    <row r="26" spans="1:2" x14ac:dyDescent="0.3">
      <c r="A26" s="17" t="s">
        <v>79</v>
      </c>
      <c r="B26" s="18"/>
    </row>
    <row r="27" spans="1:2" ht="28.8" x14ac:dyDescent="0.3">
      <c r="A27" s="19" t="s">
        <v>47</v>
      </c>
      <c r="B27" s="20" t="s">
        <v>80</v>
      </c>
    </row>
    <row r="28" spans="1:2" x14ac:dyDescent="0.3">
      <c r="A28" s="19" t="s">
        <v>81</v>
      </c>
      <c r="B28" s="20" t="s">
        <v>82</v>
      </c>
    </row>
    <row r="29" spans="1:2" x14ac:dyDescent="0.3">
      <c r="A29" s="19" t="s">
        <v>51</v>
      </c>
      <c r="B29" s="20" t="s">
        <v>83</v>
      </c>
    </row>
    <row r="30" spans="1:2" x14ac:dyDescent="0.3">
      <c r="A30" s="19" t="s">
        <v>53</v>
      </c>
      <c r="B30" s="20" t="s">
        <v>84</v>
      </c>
    </row>
    <row r="32" spans="1:2" x14ac:dyDescent="0.3">
      <c r="A32" s="17" t="s">
        <v>85</v>
      </c>
      <c r="B32" s="18"/>
    </row>
    <row r="33" spans="1:2" x14ac:dyDescent="0.3">
      <c r="A33" s="19" t="s">
        <v>47</v>
      </c>
      <c r="B33" s="20" t="s">
        <v>86</v>
      </c>
    </row>
    <row r="34" spans="1:2" ht="28.8" x14ac:dyDescent="0.3">
      <c r="A34" s="19" t="s">
        <v>51</v>
      </c>
      <c r="B34" s="20" t="s">
        <v>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32F4-4093-4CA5-ABE6-98AE0249C943}">
  <dimension ref="A1:G501"/>
  <sheetViews>
    <sheetView zoomScale="115" zoomScaleNormal="115" workbookViewId="0">
      <selection activeCell="H4" sqref="H4"/>
    </sheetView>
  </sheetViews>
  <sheetFormatPr defaultRowHeight="14.4" x14ac:dyDescent="0.3"/>
  <cols>
    <col min="1" max="1" width="12.6640625" customWidth="1"/>
    <col min="2" max="2" width="13" bestFit="1" customWidth="1"/>
    <col min="3" max="3" width="9.88671875" bestFit="1" customWidth="1"/>
    <col min="4" max="4" width="21.77734375" bestFit="1" customWidth="1"/>
    <col min="5" max="5" width="19.44140625" bestFit="1" customWidth="1"/>
    <col min="6" max="6" width="15.21875" bestFit="1" customWidth="1"/>
    <col min="7" max="7" width="17.109375" bestFit="1" customWidth="1"/>
  </cols>
  <sheetData>
    <row r="1" spans="1: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37</v>
      </c>
    </row>
    <row r="2" spans="1:7" x14ac:dyDescent="0.3">
      <c r="A2" s="3" t="s">
        <v>6</v>
      </c>
      <c r="B2" s="2" t="s">
        <v>7</v>
      </c>
      <c r="C2" s="2" t="s">
        <v>8</v>
      </c>
      <c r="D2" s="2">
        <v>8741</v>
      </c>
      <c r="E2" s="2">
        <v>11391</v>
      </c>
      <c r="F2" s="2" t="s">
        <v>36</v>
      </c>
      <c r="G2" s="4" t="str">
        <f>IF('Expense Data'!E2&lt;='Expense Data'!D2,"On Budget","Over Budget")</f>
        <v>Over Budget</v>
      </c>
    </row>
    <row r="3" spans="1:7" x14ac:dyDescent="0.3">
      <c r="A3" s="3" t="s">
        <v>9</v>
      </c>
      <c r="B3" s="2" t="s">
        <v>10</v>
      </c>
      <c r="C3" s="2" t="s">
        <v>11</v>
      </c>
      <c r="D3" s="2">
        <v>9315</v>
      </c>
      <c r="E3" s="2">
        <v>2115</v>
      </c>
      <c r="F3" s="2" t="s">
        <v>12</v>
      </c>
      <c r="G3" s="4" t="str">
        <f>IF('Expense Data'!E3&lt;='Expense Data'!D3,"On Budget","Over Budget")</f>
        <v>On Budget</v>
      </c>
    </row>
    <row r="4" spans="1:7" x14ac:dyDescent="0.3">
      <c r="A4" s="3" t="s">
        <v>13</v>
      </c>
      <c r="B4" s="2" t="s">
        <v>10</v>
      </c>
      <c r="C4" s="2" t="s">
        <v>14</v>
      </c>
      <c r="D4" s="2">
        <v>5713</v>
      </c>
      <c r="E4" s="2">
        <v>2833</v>
      </c>
      <c r="F4" s="2" t="s">
        <v>15</v>
      </c>
      <c r="G4" s="4" t="str">
        <f>IF('Expense Data'!E4&lt;='Expense Data'!D4,"On Budget","Over Budget")</f>
        <v>On Budget</v>
      </c>
    </row>
    <row r="5" spans="1:7" x14ac:dyDescent="0.3">
      <c r="A5" s="3" t="s">
        <v>16</v>
      </c>
      <c r="B5" s="2" t="s">
        <v>7</v>
      </c>
      <c r="C5" s="2" t="s">
        <v>17</v>
      </c>
      <c r="D5" s="2">
        <v>4220</v>
      </c>
      <c r="E5" s="2">
        <v>1659</v>
      </c>
      <c r="F5" s="2" t="s">
        <v>12</v>
      </c>
      <c r="G5" s="4" t="str">
        <f>IF('Expense Data'!E5&lt;='Expense Data'!D5,"On Budget","Over Budget")</f>
        <v>On Budget</v>
      </c>
    </row>
    <row r="6" spans="1:7" x14ac:dyDescent="0.3">
      <c r="A6" s="3" t="s">
        <v>16</v>
      </c>
      <c r="B6" s="2" t="s">
        <v>10</v>
      </c>
      <c r="C6" s="2" t="s">
        <v>18</v>
      </c>
      <c r="D6" s="2">
        <v>8871</v>
      </c>
      <c r="E6" s="2">
        <v>9947</v>
      </c>
      <c r="F6" s="2" t="s">
        <v>19</v>
      </c>
      <c r="G6" s="4" t="str">
        <f>IF('Expense Data'!E6&lt;='Expense Data'!D6,"On Budget","Over Budget")</f>
        <v>Over Budget</v>
      </c>
    </row>
    <row r="7" spans="1:7" x14ac:dyDescent="0.3">
      <c r="A7" s="3" t="s">
        <v>6</v>
      </c>
      <c r="B7" s="2" t="s">
        <v>7</v>
      </c>
      <c r="C7" s="2" t="s">
        <v>20</v>
      </c>
      <c r="D7" s="2">
        <v>6152</v>
      </c>
      <c r="E7" s="2">
        <v>5026</v>
      </c>
      <c r="F7" s="2" t="s">
        <v>19</v>
      </c>
      <c r="G7" s="4" t="str">
        <f>IF('Expense Data'!E7&lt;='Expense Data'!D7,"On Budget","Over Budget")</f>
        <v>On Budget</v>
      </c>
    </row>
    <row r="8" spans="1:7" x14ac:dyDescent="0.3">
      <c r="A8" s="3" t="s">
        <v>9</v>
      </c>
      <c r="B8" s="2" t="s">
        <v>10</v>
      </c>
      <c r="C8" s="2" t="s">
        <v>21</v>
      </c>
      <c r="D8" s="2">
        <v>9906</v>
      </c>
      <c r="E8" s="2">
        <v>4649</v>
      </c>
      <c r="F8" s="2" t="s">
        <v>19</v>
      </c>
      <c r="G8" s="4" t="str">
        <f>IF('Expense Data'!E8&lt;='Expense Data'!D8,"On Budget","Over Budget")</f>
        <v>On Budget</v>
      </c>
    </row>
    <row r="9" spans="1:7" x14ac:dyDescent="0.3">
      <c r="A9" s="3" t="s">
        <v>13</v>
      </c>
      <c r="B9" s="2" t="s">
        <v>7</v>
      </c>
      <c r="C9" s="2" t="s">
        <v>8</v>
      </c>
      <c r="D9" s="2">
        <v>9187</v>
      </c>
      <c r="E9" s="2">
        <v>4834</v>
      </c>
      <c r="F9" s="2" t="s">
        <v>36</v>
      </c>
      <c r="G9" s="4" t="str">
        <f>IF('Expense Data'!E9&lt;='Expense Data'!D9,"On Budget","Over Budget")</f>
        <v>On Budget</v>
      </c>
    </row>
    <row r="10" spans="1:7" x14ac:dyDescent="0.3">
      <c r="A10" s="3" t="s">
        <v>22</v>
      </c>
      <c r="B10" s="2" t="s">
        <v>23</v>
      </c>
      <c r="C10" s="2" t="s">
        <v>24</v>
      </c>
      <c r="D10" s="2">
        <v>9113</v>
      </c>
      <c r="E10" s="2">
        <v>3132</v>
      </c>
      <c r="F10" s="2" t="s">
        <v>19</v>
      </c>
      <c r="G10" s="4" t="str">
        <f>IF('Expense Data'!E10&lt;='Expense Data'!D10,"On Budget","Over Budget")</f>
        <v>On Budget</v>
      </c>
    </row>
    <row r="11" spans="1:7" x14ac:dyDescent="0.3">
      <c r="A11" s="3" t="s">
        <v>9</v>
      </c>
      <c r="B11" s="2" t="s">
        <v>25</v>
      </c>
      <c r="C11" s="2" t="s">
        <v>26</v>
      </c>
      <c r="D11" s="2">
        <v>2972</v>
      </c>
      <c r="E11" s="2">
        <v>8038</v>
      </c>
      <c r="F11" s="2" t="s">
        <v>12</v>
      </c>
      <c r="G11" s="4" t="str">
        <f>IF('Expense Data'!E11&lt;='Expense Data'!D11,"On Budget","Over Budget")</f>
        <v>Over Budget</v>
      </c>
    </row>
    <row r="12" spans="1:7" x14ac:dyDescent="0.3">
      <c r="A12" s="3" t="s">
        <v>13</v>
      </c>
      <c r="B12" s="2" t="s">
        <v>7</v>
      </c>
      <c r="C12" s="2" t="s">
        <v>21</v>
      </c>
      <c r="D12" s="2">
        <v>4703</v>
      </c>
      <c r="E12" s="2">
        <v>2005</v>
      </c>
      <c r="F12" s="2" t="s">
        <v>12</v>
      </c>
      <c r="G12" s="4" t="str">
        <f>IF('Expense Data'!E12&lt;='Expense Data'!D12,"On Budget","Over Budget")</f>
        <v>On Budget</v>
      </c>
    </row>
    <row r="13" spans="1:7" x14ac:dyDescent="0.3">
      <c r="A13" s="3" t="s">
        <v>27</v>
      </c>
      <c r="B13" s="2" t="s">
        <v>25</v>
      </c>
      <c r="C13" s="2" t="s">
        <v>17</v>
      </c>
      <c r="D13" s="2">
        <v>2819</v>
      </c>
      <c r="E13" s="2">
        <v>2626</v>
      </c>
      <c r="F13" s="2" t="s">
        <v>15</v>
      </c>
      <c r="G13" s="4" t="str">
        <f>IF('Expense Data'!E13&lt;='Expense Data'!D13,"On Budget","Over Budget")</f>
        <v>On Budget</v>
      </c>
    </row>
    <row r="14" spans="1:7" x14ac:dyDescent="0.3">
      <c r="A14" s="3" t="s">
        <v>27</v>
      </c>
      <c r="B14" s="2" t="s">
        <v>28</v>
      </c>
      <c r="C14" s="2" t="s">
        <v>14</v>
      </c>
      <c r="D14" s="2">
        <v>2687</v>
      </c>
      <c r="E14" s="2">
        <v>2320</v>
      </c>
      <c r="F14" s="2" t="s">
        <v>36</v>
      </c>
      <c r="G14" s="4" t="str">
        <f>IF('Expense Data'!E14&lt;='Expense Data'!D14,"On Budget","Over Budget")</f>
        <v>On Budget</v>
      </c>
    </row>
    <row r="15" spans="1:7" x14ac:dyDescent="0.3">
      <c r="A15" s="3" t="s">
        <v>22</v>
      </c>
      <c r="B15" s="2" t="s">
        <v>25</v>
      </c>
      <c r="C15" s="2" t="s">
        <v>18</v>
      </c>
      <c r="D15" s="2">
        <v>3954</v>
      </c>
      <c r="E15" s="2">
        <v>11660</v>
      </c>
      <c r="F15" s="2" t="s">
        <v>36</v>
      </c>
      <c r="G15" s="4" t="str">
        <f>IF('Expense Data'!E15&lt;='Expense Data'!D15,"On Budget","Over Budget")</f>
        <v>Over Budget</v>
      </c>
    </row>
    <row r="16" spans="1:7" x14ac:dyDescent="0.3">
      <c r="A16" s="3" t="s">
        <v>13</v>
      </c>
      <c r="B16" s="2" t="s">
        <v>25</v>
      </c>
      <c r="C16" s="2" t="s">
        <v>29</v>
      </c>
      <c r="D16" s="2">
        <v>1888</v>
      </c>
      <c r="E16" s="2">
        <v>2168</v>
      </c>
      <c r="F16" s="2" t="s">
        <v>30</v>
      </c>
      <c r="G16" s="4" t="str">
        <f>IF('Expense Data'!E16&lt;='Expense Data'!D16,"On Budget","Over Budget")</f>
        <v>Over Budget</v>
      </c>
    </row>
    <row r="17" spans="1:7" x14ac:dyDescent="0.3">
      <c r="A17" s="3" t="s">
        <v>6</v>
      </c>
      <c r="B17" s="2" t="s">
        <v>23</v>
      </c>
      <c r="C17" s="2" t="s">
        <v>20</v>
      </c>
      <c r="D17" s="2">
        <v>3935</v>
      </c>
      <c r="E17" s="2">
        <v>9025</v>
      </c>
      <c r="F17" s="2" t="s">
        <v>19</v>
      </c>
      <c r="G17" s="4" t="str">
        <f>IF('Expense Data'!E17&lt;='Expense Data'!D17,"On Budget","Over Budget")</f>
        <v>Over Budget</v>
      </c>
    </row>
    <row r="18" spans="1:7" x14ac:dyDescent="0.3">
      <c r="A18" s="3" t="s">
        <v>22</v>
      </c>
      <c r="B18" s="2" t="s">
        <v>28</v>
      </c>
      <c r="C18" s="2" t="s">
        <v>29</v>
      </c>
      <c r="D18" s="2">
        <v>6457</v>
      </c>
      <c r="E18" s="2">
        <v>11471</v>
      </c>
      <c r="F18" s="2" t="s">
        <v>30</v>
      </c>
      <c r="G18" s="4" t="str">
        <f>IF('Expense Data'!E18&lt;='Expense Data'!D18,"On Budget","Over Budget")</f>
        <v>Over Budget</v>
      </c>
    </row>
    <row r="19" spans="1:7" x14ac:dyDescent="0.3">
      <c r="A19" s="3" t="s">
        <v>6</v>
      </c>
      <c r="B19" s="2" t="s">
        <v>7</v>
      </c>
      <c r="C19" s="2" t="s">
        <v>20</v>
      </c>
      <c r="D19" s="2">
        <v>3214</v>
      </c>
      <c r="E19" s="2">
        <v>7585</v>
      </c>
      <c r="F19" s="2" t="s">
        <v>36</v>
      </c>
      <c r="G19" s="4" t="str">
        <f>IF('Expense Data'!E19&lt;='Expense Data'!D19,"On Budget","Over Budget")</f>
        <v>Over Budget</v>
      </c>
    </row>
    <row r="20" spans="1:7" x14ac:dyDescent="0.3">
      <c r="A20" s="3" t="s">
        <v>22</v>
      </c>
      <c r="B20" s="2" t="s">
        <v>28</v>
      </c>
      <c r="C20" s="2" t="s">
        <v>29</v>
      </c>
      <c r="D20" s="2">
        <v>6642</v>
      </c>
      <c r="E20" s="2">
        <v>1610</v>
      </c>
      <c r="F20" s="2" t="s">
        <v>12</v>
      </c>
      <c r="G20" s="4" t="str">
        <f>IF('Expense Data'!E20&lt;='Expense Data'!D20,"On Budget","Over Budget")</f>
        <v>On Budget</v>
      </c>
    </row>
    <row r="21" spans="1:7" x14ac:dyDescent="0.3">
      <c r="A21" s="3" t="s">
        <v>16</v>
      </c>
      <c r="B21" s="2" t="s">
        <v>7</v>
      </c>
      <c r="C21" s="2" t="s">
        <v>24</v>
      </c>
      <c r="D21" s="2">
        <v>4614</v>
      </c>
      <c r="E21" s="2">
        <v>5264</v>
      </c>
      <c r="F21" s="2" t="s">
        <v>12</v>
      </c>
      <c r="G21" s="4" t="str">
        <f>IF('Expense Data'!E21&lt;='Expense Data'!D21,"On Budget","Over Budget")</f>
        <v>Over Budget</v>
      </c>
    </row>
    <row r="22" spans="1:7" x14ac:dyDescent="0.3">
      <c r="A22" s="3" t="s">
        <v>27</v>
      </c>
      <c r="B22" s="2" t="s">
        <v>10</v>
      </c>
      <c r="C22" s="2" t="s">
        <v>24</v>
      </c>
      <c r="D22" s="2">
        <v>9247</v>
      </c>
      <c r="E22" s="2">
        <v>6873</v>
      </c>
      <c r="F22" s="2" t="s">
        <v>15</v>
      </c>
      <c r="G22" s="4" t="str">
        <f>IF('Expense Data'!E22&lt;='Expense Data'!D22,"On Budget","Over Budget")</f>
        <v>On Budget</v>
      </c>
    </row>
    <row r="23" spans="1:7" x14ac:dyDescent="0.3">
      <c r="A23" s="3" t="s">
        <v>13</v>
      </c>
      <c r="B23" s="2" t="s">
        <v>31</v>
      </c>
      <c r="C23" s="2" t="s">
        <v>32</v>
      </c>
      <c r="D23" s="2">
        <v>6442</v>
      </c>
      <c r="E23" s="2">
        <v>5190</v>
      </c>
      <c r="F23" s="2" t="s">
        <v>36</v>
      </c>
      <c r="G23" s="4" t="str">
        <f>IF('Expense Data'!E23&lt;='Expense Data'!D23,"On Budget","Over Budget")</f>
        <v>On Budget</v>
      </c>
    </row>
    <row r="24" spans="1:7" x14ac:dyDescent="0.3">
      <c r="A24" s="3" t="s">
        <v>16</v>
      </c>
      <c r="B24" s="2" t="s">
        <v>31</v>
      </c>
      <c r="C24" s="2" t="s">
        <v>21</v>
      </c>
      <c r="D24" s="2">
        <v>6248</v>
      </c>
      <c r="E24" s="2">
        <v>4567</v>
      </c>
      <c r="F24" s="2" t="s">
        <v>12</v>
      </c>
      <c r="G24" s="4" t="str">
        <f>IF('Expense Data'!E24&lt;='Expense Data'!D24,"On Budget","Over Budget")</f>
        <v>On Budget</v>
      </c>
    </row>
    <row r="25" spans="1:7" x14ac:dyDescent="0.3">
      <c r="A25" s="3" t="s">
        <v>6</v>
      </c>
      <c r="B25" s="2" t="s">
        <v>10</v>
      </c>
      <c r="C25" s="2" t="s">
        <v>29</v>
      </c>
      <c r="D25" s="2">
        <v>6425</v>
      </c>
      <c r="E25" s="2">
        <v>4047</v>
      </c>
      <c r="F25" s="2" t="s">
        <v>15</v>
      </c>
      <c r="G25" s="4" t="str">
        <f>IF('Expense Data'!E25&lt;='Expense Data'!D25,"On Budget","Over Budget")</f>
        <v>On Budget</v>
      </c>
    </row>
    <row r="26" spans="1:7" x14ac:dyDescent="0.3">
      <c r="A26" s="3" t="s">
        <v>6</v>
      </c>
      <c r="B26" s="2" t="s">
        <v>7</v>
      </c>
      <c r="C26" s="2" t="s">
        <v>11</v>
      </c>
      <c r="D26" s="2">
        <v>8014</v>
      </c>
      <c r="E26" s="2">
        <v>10039</v>
      </c>
      <c r="F26" s="2" t="s">
        <v>19</v>
      </c>
      <c r="G26" s="4" t="str">
        <f>IF('Expense Data'!E26&lt;='Expense Data'!D26,"On Budget","Over Budget")</f>
        <v>Over Budget</v>
      </c>
    </row>
    <row r="27" spans="1:7" x14ac:dyDescent="0.3">
      <c r="A27" s="3" t="s">
        <v>33</v>
      </c>
      <c r="B27" s="2" t="s">
        <v>10</v>
      </c>
      <c r="C27" s="2" t="s">
        <v>29</v>
      </c>
      <c r="D27" s="2">
        <v>9917</v>
      </c>
      <c r="E27" s="2">
        <v>7431</v>
      </c>
      <c r="F27" s="2" t="s">
        <v>30</v>
      </c>
      <c r="G27" s="4" t="str">
        <f>IF('Expense Data'!E27&lt;='Expense Data'!D27,"On Budget","Over Budget")</f>
        <v>On Budget</v>
      </c>
    </row>
    <row r="28" spans="1:7" x14ac:dyDescent="0.3">
      <c r="A28" s="3" t="s">
        <v>22</v>
      </c>
      <c r="B28" s="2" t="s">
        <v>25</v>
      </c>
      <c r="C28" s="2" t="s">
        <v>24</v>
      </c>
      <c r="D28" s="2">
        <v>4233</v>
      </c>
      <c r="E28" s="2">
        <v>11353</v>
      </c>
      <c r="F28" s="2" t="s">
        <v>19</v>
      </c>
      <c r="G28" s="4" t="str">
        <f>IF('Expense Data'!E28&lt;='Expense Data'!D28,"On Budget","Over Budget")</f>
        <v>Over Budget</v>
      </c>
    </row>
    <row r="29" spans="1:7" x14ac:dyDescent="0.3">
      <c r="A29" s="3" t="s">
        <v>22</v>
      </c>
      <c r="B29" s="2" t="s">
        <v>25</v>
      </c>
      <c r="C29" s="2" t="s">
        <v>17</v>
      </c>
      <c r="D29" s="2">
        <v>5695</v>
      </c>
      <c r="E29" s="2">
        <v>10306</v>
      </c>
      <c r="F29" s="2" t="s">
        <v>30</v>
      </c>
      <c r="G29" s="4" t="str">
        <f>IF('Expense Data'!E29&lt;='Expense Data'!D29,"On Budget","Over Budget")</f>
        <v>Over Budget</v>
      </c>
    </row>
    <row r="30" spans="1:7" x14ac:dyDescent="0.3">
      <c r="A30" s="3" t="s">
        <v>33</v>
      </c>
      <c r="B30" s="2" t="s">
        <v>28</v>
      </c>
      <c r="C30" s="2" t="s">
        <v>14</v>
      </c>
      <c r="D30" s="2">
        <v>3664</v>
      </c>
      <c r="E30" s="2">
        <v>8157</v>
      </c>
      <c r="F30" s="2" t="s">
        <v>12</v>
      </c>
      <c r="G30" s="4" t="str">
        <f>IF('Expense Data'!E30&lt;='Expense Data'!D30,"On Budget","Over Budget")</f>
        <v>Over Budget</v>
      </c>
    </row>
    <row r="31" spans="1:7" x14ac:dyDescent="0.3">
      <c r="A31" s="3" t="s">
        <v>22</v>
      </c>
      <c r="B31" s="2" t="s">
        <v>10</v>
      </c>
      <c r="C31" s="2" t="s">
        <v>34</v>
      </c>
      <c r="D31" s="2">
        <v>1258</v>
      </c>
      <c r="E31" s="2">
        <v>11395</v>
      </c>
      <c r="F31" s="2" t="s">
        <v>15</v>
      </c>
      <c r="G31" s="4" t="str">
        <f>IF('Expense Data'!E31&lt;='Expense Data'!D31,"On Budget","Over Budget")</f>
        <v>Over Budget</v>
      </c>
    </row>
    <row r="32" spans="1:7" x14ac:dyDescent="0.3">
      <c r="A32" s="3" t="s">
        <v>16</v>
      </c>
      <c r="B32" s="2" t="s">
        <v>7</v>
      </c>
      <c r="C32" s="2" t="s">
        <v>14</v>
      </c>
      <c r="D32" s="2">
        <v>9474</v>
      </c>
      <c r="E32" s="2">
        <v>6425</v>
      </c>
      <c r="F32" s="2" t="s">
        <v>19</v>
      </c>
      <c r="G32" s="4" t="str">
        <f>IF('Expense Data'!E32&lt;='Expense Data'!D32,"On Budget","Over Budget")</f>
        <v>On Budget</v>
      </c>
    </row>
    <row r="33" spans="1:7" x14ac:dyDescent="0.3">
      <c r="A33" s="3" t="s">
        <v>33</v>
      </c>
      <c r="B33" s="2" t="s">
        <v>7</v>
      </c>
      <c r="C33" s="2" t="s">
        <v>34</v>
      </c>
      <c r="D33" s="2">
        <v>9453</v>
      </c>
      <c r="E33" s="2">
        <v>3473</v>
      </c>
      <c r="F33" s="2" t="s">
        <v>19</v>
      </c>
      <c r="G33" s="4" t="str">
        <f>IF('Expense Data'!E33&lt;='Expense Data'!D33,"On Budget","Over Budget")</f>
        <v>On Budget</v>
      </c>
    </row>
    <row r="34" spans="1:7" x14ac:dyDescent="0.3">
      <c r="A34" s="3" t="s">
        <v>22</v>
      </c>
      <c r="B34" s="2" t="s">
        <v>10</v>
      </c>
      <c r="C34" s="2" t="s">
        <v>29</v>
      </c>
      <c r="D34" s="2">
        <v>5022</v>
      </c>
      <c r="E34" s="2">
        <v>7324</v>
      </c>
      <c r="F34" s="2" t="s">
        <v>12</v>
      </c>
      <c r="G34" s="4" t="str">
        <f>IF('Expense Data'!E34&lt;='Expense Data'!D34,"On Budget","Over Budget")</f>
        <v>Over Budget</v>
      </c>
    </row>
    <row r="35" spans="1:7" x14ac:dyDescent="0.3">
      <c r="A35" s="3" t="s">
        <v>27</v>
      </c>
      <c r="B35" s="2" t="s">
        <v>35</v>
      </c>
      <c r="C35" s="2" t="s">
        <v>18</v>
      </c>
      <c r="D35" s="2">
        <v>3187</v>
      </c>
      <c r="E35" s="2">
        <v>2004</v>
      </c>
      <c r="F35" s="2" t="s">
        <v>15</v>
      </c>
      <c r="G35" s="4" t="str">
        <f>IF('Expense Data'!E35&lt;='Expense Data'!D35,"On Budget","Over Budget")</f>
        <v>On Budget</v>
      </c>
    </row>
    <row r="36" spans="1:7" x14ac:dyDescent="0.3">
      <c r="A36" s="3" t="s">
        <v>22</v>
      </c>
      <c r="B36" s="2" t="s">
        <v>31</v>
      </c>
      <c r="C36" s="2" t="s">
        <v>14</v>
      </c>
      <c r="D36" s="2">
        <v>5157</v>
      </c>
      <c r="E36" s="2">
        <v>9013</v>
      </c>
      <c r="F36" s="2" t="s">
        <v>30</v>
      </c>
      <c r="G36" s="4" t="str">
        <f>IF('Expense Data'!E36&lt;='Expense Data'!D36,"On Budget","Over Budget")</f>
        <v>Over Budget</v>
      </c>
    </row>
    <row r="37" spans="1:7" x14ac:dyDescent="0.3">
      <c r="A37" s="3" t="s">
        <v>9</v>
      </c>
      <c r="B37" s="2" t="s">
        <v>25</v>
      </c>
      <c r="C37" s="2" t="s">
        <v>11</v>
      </c>
      <c r="D37" s="2">
        <v>6167</v>
      </c>
      <c r="E37" s="2">
        <v>10425</v>
      </c>
      <c r="F37" s="2" t="s">
        <v>15</v>
      </c>
      <c r="G37" s="4" t="str">
        <f>IF('Expense Data'!E37&lt;='Expense Data'!D37,"On Budget","Over Budget")</f>
        <v>Over Budget</v>
      </c>
    </row>
    <row r="38" spans="1:7" x14ac:dyDescent="0.3">
      <c r="A38" s="3" t="s">
        <v>13</v>
      </c>
      <c r="B38" s="2" t="s">
        <v>28</v>
      </c>
      <c r="C38" s="2" t="s">
        <v>8</v>
      </c>
      <c r="D38" s="2">
        <v>3598</v>
      </c>
      <c r="E38" s="2">
        <v>6920</v>
      </c>
      <c r="F38" s="2" t="s">
        <v>36</v>
      </c>
      <c r="G38" s="4" t="str">
        <f>IF('Expense Data'!E38&lt;='Expense Data'!D38,"On Budget","Over Budget")</f>
        <v>Over Budget</v>
      </c>
    </row>
    <row r="39" spans="1:7" x14ac:dyDescent="0.3">
      <c r="A39" s="3" t="s">
        <v>13</v>
      </c>
      <c r="B39" s="2" t="s">
        <v>35</v>
      </c>
      <c r="C39" s="2" t="s">
        <v>11</v>
      </c>
      <c r="D39" s="2">
        <v>8265</v>
      </c>
      <c r="E39" s="2">
        <v>11479</v>
      </c>
      <c r="F39" s="2" t="s">
        <v>19</v>
      </c>
      <c r="G39" s="4" t="str">
        <f>IF('Expense Data'!E39&lt;='Expense Data'!D39,"On Budget","Over Budget")</f>
        <v>Over Budget</v>
      </c>
    </row>
    <row r="40" spans="1:7" x14ac:dyDescent="0.3">
      <c r="A40" s="3" t="s">
        <v>6</v>
      </c>
      <c r="B40" s="2" t="s">
        <v>23</v>
      </c>
      <c r="C40" s="2" t="s">
        <v>18</v>
      </c>
      <c r="D40" s="2">
        <v>2556</v>
      </c>
      <c r="E40" s="2">
        <v>5661</v>
      </c>
      <c r="F40" s="2" t="s">
        <v>12</v>
      </c>
      <c r="G40" s="4" t="str">
        <f>IF('Expense Data'!E40&lt;='Expense Data'!D40,"On Budget","Over Budget")</f>
        <v>Over Budget</v>
      </c>
    </row>
    <row r="41" spans="1:7" x14ac:dyDescent="0.3">
      <c r="A41" s="3" t="s">
        <v>13</v>
      </c>
      <c r="B41" s="2" t="s">
        <v>31</v>
      </c>
      <c r="C41" s="2" t="s">
        <v>20</v>
      </c>
      <c r="D41" s="2">
        <v>6507</v>
      </c>
      <c r="E41" s="2">
        <v>6605</v>
      </c>
      <c r="F41" s="2" t="s">
        <v>12</v>
      </c>
      <c r="G41" s="4" t="str">
        <f>IF('Expense Data'!E41&lt;='Expense Data'!D41,"On Budget","Over Budget")</f>
        <v>Over Budget</v>
      </c>
    </row>
    <row r="42" spans="1:7" x14ac:dyDescent="0.3">
      <c r="A42" s="3" t="s">
        <v>9</v>
      </c>
      <c r="B42" s="2" t="s">
        <v>23</v>
      </c>
      <c r="C42" s="2" t="s">
        <v>14</v>
      </c>
      <c r="D42" s="2">
        <v>9888</v>
      </c>
      <c r="E42" s="2">
        <v>1961</v>
      </c>
      <c r="F42" s="2" t="s">
        <v>12</v>
      </c>
      <c r="G42" s="4" t="str">
        <f>IF('Expense Data'!E42&lt;='Expense Data'!D42,"On Budget","Over Budget")</f>
        <v>On Budget</v>
      </c>
    </row>
    <row r="43" spans="1:7" x14ac:dyDescent="0.3">
      <c r="A43" s="3" t="s">
        <v>16</v>
      </c>
      <c r="B43" s="2" t="s">
        <v>7</v>
      </c>
      <c r="C43" s="2" t="s">
        <v>34</v>
      </c>
      <c r="D43" s="2">
        <v>8748</v>
      </c>
      <c r="E43" s="2">
        <v>2688</v>
      </c>
      <c r="F43" s="2" t="s">
        <v>36</v>
      </c>
      <c r="G43" s="4" t="str">
        <f>IF('Expense Data'!E43&lt;='Expense Data'!D43,"On Budget","Over Budget")</f>
        <v>On Budget</v>
      </c>
    </row>
    <row r="44" spans="1:7" x14ac:dyDescent="0.3">
      <c r="A44" s="3" t="s">
        <v>16</v>
      </c>
      <c r="B44" s="2" t="s">
        <v>25</v>
      </c>
      <c r="C44" s="2" t="s">
        <v>20</v>
      </c>
      <c r="D44" s="2">
        <v>1573</v>
      </c>
      <c r="E44" s="2">
        <v>11206</v>
      </c>
      <c r="F44" s="2" t="s">
        <v>15</v>
      </c>
      <c r="G44" s="4" t="str">
        <f>IF('Expense Data'!E44&lt;='Expense Data'!D44,"On Budget","Over Budget")</f>
        <v>Over Budget</v>
      </c>
    </row>
    <row r="45" spans="1:7" x14ac:dyDescent="0.3">
      <c r="A45" s="3" t="s">
        <v>22</v>
      </c>
      <c r="B45" s="2" t="s">
        <v>31</v>
      </c>
      <c r="C45" s="2" t="s">
        <v>29</v>
      </c>
      <c r="D45" s="2">
        <v>7863</v>
      </c>
      <c r="E45" s="2">
        <v>4970</v>
      </c>
      <c r="F45" s="2" t="s">
        <v>19</v>
      </c>
      <c r="G45" s="4" t="str">
        <f>IF('Expense Data'!E45&lt;='Expense Data'!D45,"On Budget","Over Budget")</f>
        <v>On Budget</v>
      </c>
    </row>
    <row r="46" spans="1:7" x14ac:dyDescent="0.3">
      <c r="A46" s="3" t="s">
        <v>16</v>
      </c>
      <c r="B46" s="2" t="s">
        <v>25</v>
      </c>
      <c r="C46" s="2" t="s">
        <v>18</v>
      </c>
      <c r="D46" s="2">
        <v>4248</v>
      </c>
      <c r="E46" s="2">
        <v>5503</v>
      </c>
      <c r="F46" s="2" t="s">
        <v>19</v>
      </c>
      <c r="G46" s="4" t="str">
        <f>IF('Expense Data'!E46&lt;='Expense Data'!D46,"On Budget","Over Budget")</f>
        <v>Over Budget</v>
      </c>
    </row>
    <row r="47" spans="1:7" x14ac:dyDescent="0.3">
      <c r="A47" s="3" t="s">
        <v>22</v>
      </c>
      <c r="B47" s="2" t="s">
        <v>35</v>
      </c>
      <c r="C47" s="2" t="s">
        <v>20</v>
      </c>
      <c r="D47" s="2">
        <v>6213</v>
      </c>
      <c r="E47" s="2">
        <v>10730</v>
      </c>
      <c r="F47" s="2" t="s">
        <v>36</v>
      </c>
      <c r="G47" s="4" t="str">
        <f>IF('Expense Data'!E47&lt;='Expense Data'!D47,"On Budget","Over Budget")</f>
        <v>Over Budget</v>
      </c>
    </row>
    <row r="48" spans="1:7" x14ac:dyDescent="0.3">
      <c r="A48" s="3" t="s">
        <v>9</v>
      </c>
      <c r="B48" s="2" t="s">
        <v>35</v>
      </c>
      <c r="C48" s="2" t="s">
        <v>20</v>
      </c>
      <c r="D48" s="2">
        <v>8844</v>
      </c>
      <c r="E48" s="2">
        <v>5430</v>
      </c>
      <c r="F48" s="2" t="s">
        <v>36</v>
      </c>
      <c r="G48" s="4" t="str">
        <f>IF('Expense Data'!E48&lt;='Expense Data'!D48,"On Budget","Over Budget")</f>
        <v>On Budget</v>
      </c>
    </row>
    <row r="49" spans="1:7" x14ac:dyDescent="0.3">
      <c r="A49" s="3" t="s">
        <v>22</v>
      </c>
      <c r="B49" s="2" t="s">
        <v>7</v>
      </c>
      <c r="C49" s="2" t="s">
        <v>34</v>
      </c>
      <c r="D49" s="2">
        <v>8654</v>
      </c>
      <c r="E49" s="2">
        <v>10484</v>
      </c>
      <c r="F49" s="2" t="s">
        <v>12</v>
      </c>
      <c r="G49" s="4" t="str">
        <f>IF('Expense Data'!E49&lt;='Expense Data'!D49,"On Budget","Over Budget")</f>
        <v>Over Budget</v>
      </c>
    </row>
    <row r="50" spans="1:7" x14ac:dyDescent="0.3">
      <c r="A50" s="3" t="s">
        <v>22</v>
      </c>
      <c r="B50" s="2" t="s">
        <v>35</v>
      </c>
      <c r="C50" s="2" t="s">
        <v>32</v>
      </c>
      <c r="D50" s="2">
        <v>3669</v>
      </c>
      <c r="E50" s="2">
        <v>5897</v>
      </c>
      <c r="F50" s="2" t="s">
        <v>15</v>
      </c>
      <c r="G50" s="4" t="str">
        <f>IF('Expense Data'!E50&lt;='Expense Data'!D50,"On Budget","Over Budget")</f>
        <v>Over Budget</v>
      </c>
    </row>
    <row r="51" spans="1:7" x14ac:dyDescent="0.3">
      <c r="A51" s="3" t="s">
        <v>13</v>
      </c>
      <c r="B51" s="2" t="s">
        <v>23</v>
      </c>
      <c r="C51" s="2" t="s">
        <v>29</v>
      </c>
      <c r="D51" s="2">
        <v>3812</v>
      </c>
      <c r="E51" s="2">
        <v>9459</v>
      </c>
      <c r="F51" s="2" t="s">
        <v>36</v>
      </c>
      <c r="G51" s="4" t="str">
        <f>IF('Expense Data'!E51&lt;='Expense Data'!D51,"On Budget","Over Budget")</f>
        <v>Over Budget</v>
      </c>
    </row>
    <row r="52" spans="1:7" x14ac:dyDescent="0.3">
      <c r="A52" s="3" t="s">
        <v>33</v>
      </c>
      <c r="B52" s="2" t="s">
        <v>31</v>
      </c>
      <c r="C52" s="2" t="s">
        <v>29</v>
      </c>
      <c r="D52" s="2">
        <v>3672</v>
      </c>
      <c r="E52" s="2">
        <v>10813</v>
      </c>
      <c r="F52" s="2" t="s">
        <v>15</v>
      </c>
      <c r="G52" s="4" t="str">
        <f>IF('Expense Data'!E52&lt;='Expense Data'!D52,"On Budget","Over Budget")</f>
        <v>Over Budget</v>
      </c>
    </row>
    <row r="53" spans="1:7" x14ac:dyDescent="0.3">
      <c r="A53" s="3" t="s">
        <v>6</v>
      </c>
      <c r="B53" s="2" t="s">
        <v>25</v>
      </c>
      <c r="C53" s="2" t="s">
        <v>26</v>
      </c>
      <c r="D53" s="2">
        <v>4800</v>
      </c>
      <c r="E53" s="2">
        <v>4433</v>
      </c>
      <c r="F53" s="2" t="s">
        <v>19</v>
      </c>
      <c r="G53" s="4" t="str">
        <f>IF('Expense Data'!E53&lt;='Expense Data'!D53,"On Budget","Over Budget")</f>
        <v>On Budget</v>
      </c>
    </row>
    <row r="54" spans="1:7" x14ac:dyDescent="0.3">
      <c r="A54" s="3" t="s">
        <v>6</v>
      </c>
      <c r="B54" s="2" t="s">
        <v>25</v>
      </c>
      <c r="C54" s="2" t="s">
        <v>8</v>
      </c>
      <c r="D54" s="2">
        <v>6962</v>
      </c>
      <c r="E54" s="2">
        <v>3401</v>
      </c>
      <c r="F54" s="2" t="s">
        <v>19</v>
      </c>
      <c r="G54" s="4" t="str">
        <f>IF('Expense Data'!E54&lt;='Expense Data'!D54,"On Budget","Over Budget")</f>
        <v>On Budget</v>
      </c>
    </row>
    <row r="55" spans="1:7" x14ac:dyDescent="0.3">
      <c r="A55" s="3" t="s">
        <v>6</v>
      </c>
      <c r="B55" s="2" t="s">
        <v>10</v>
      </c>
      <c r="C55" s="2" t="s">
        <v>8</v>
      </c>
      <c r="D55" s="2">
        <v>4645</v>
      </c>
      <c r="E55" s="2">
        <v>3612</v>
      </c>
      <c r="F55" s="2" t="s">
        <v>19</v>
      </c>
      <c r="G55" s="4" t="str">
        <f>IF('Expense Data'!E55&lt;='Expense Data'!D55,"On Budget","Over Budget")</f>
        <v>On Budget</v>
      </c>
    </row>
    <row r="56" spans="1:7" x14ac:dyDescent="0.3">
      <c r="A56" s="3" t="s">
        <v>27</v>
      </c>
      <c r="B56" s="2" t="s">
        <v>23</v>
      </c>
      <c r="C56" s="2" t="s">
        <v>17</v>
      </c>
      <c r="D56" s="2">
        <v>6405</v>
      </c>
      <c r="E56" s="2">
        <v>10615</v>
      </c>
      <c r="F56" s="2" t="s">
        <v>30</v>
      </c>
      <c r="G56" s="4" t="str">
        <f>IF('Expense Data'!E56&lt;='Expense Data'!D56,"On Budget","Over Budget")</f>
        <v>Over Budget</v>
      </c>
    </row>
    <row r="57" spans="1:7" x14ac:dyDescent="0.3">
      <c r="A57" s="3" t="s">
        <v>9</v>
      </c>
      <c r="B57" s="2" t="s">
        <v>28</v>
      </c>
      <c r="C57" s="2" t="s">
        <v>29</v>
      </c>
      <c r="D57" s="2">
        <v>2393</v>
      </c>
      <c r="E57" s="2">
        <v>11340</v>
      </c>
      <c r="F57" s="2" t="s">
        <v>12</v>
      </c>
      <c r="G57" s="4" t="str">
        <f>IF('Expense Data'!E57&lt;='Expense Data'!D57,"On Budget","Over Budget")</f>
        <v>Over Budget</v>
      </c>
    </row>
    <row r="58" spans="1:7" x14ac:dyDescent="0.3">
      <c r="A58" s="3" t="s">
        <v>16</v>
      </c>
      <c r="B58" s="2" t="s">
        <v>31</v>
      </c>
      <c r="C58" s="2" t="s">
        <v>8</v>
      </c>
      <c r="D58" s="2">
        <v>9374</v>
      </c>
      <c r="E58" s="2">
        <v>5960</v>
      </c>
      <c r="F58" s="2" t="s">
        <v>36</v>
      </c>
      <c r="G58" s="4" t="str">
        <f>IF('Expense Data'!E58&lt;='Expense Data'!D58,"On Budget","Over Budget")</f>
        <v>On Budget</v>
      </c>
    </row>
    <row r="59" spans="1:7" x14ac:dyDescent="0.3">
      <c r="A59" s="3" t="s">
        <v>22</v>
      </c>
      <c r="B59" s="2" t="s">
        <v>10</v>
      </c>
      <c r="C59" s="2" t="s">
        <v>18</v>
      </c>
      <c r="D59" s="2">
        <v>5880</v>
      </c>
      <c r="E59" s="2">
        <v>1718</v>
      </c>
      <c r="F59" s="2" t="s">
        <v>12</v>
      </c>
      <c r="G59" s="4" t="str">
        <f>IF('Expense Data'!E59&lt;='Expense Data'!D59,"On Budget","Over Budget")</f>
        <v>On Budget</v>
      </c>
    </row>
    <row r="60" spans="1:7" x14ac:dyDescent="0.3">
      <c r="A60" s="3" t="s">
        <v>33</v>
      </c>
      <c r="B60" s="2" t="s">
        <v>10</v>
      </c>
      <c r="C60" s="2" t="s">
        <v>11</v>
      </c>
      <c r="D60" s="2">
        <v>2744</v>
      </c>
      <c r="E60" s="2">
        <v>8892</v>
      </c>
      <c r="F60" s="2" t="s">
        <v>36</v>
      </c>
      <c r="G60" s="4" t="str">
        <f>IF('Expense Data'!E60&lt;='Expense Data'!D60,"On Budget","Over Budget")</f>
        <v>Over Budget</v>
      </c>
    </row>
    <row r="61" spans="1:7" x14ac:dyDescent="0.3">
      <c r="A61" s="3" t="s">
        <v>6</v>
      </c>
      <c r="B61" s="2" t="s">
        <v>7</v>
      </c>
      <c r="C61" s="2" t="s">
        <v>29</v>
      </c>
      <c r="D61" s="2">
        <v>2488</v>
      </c>
      <c r="E61" s="2">
        <v>6069</v>
      </c>
      <c r="F61" s="2" t="s">
        <v>30</v>
      </c>
      <c r="G61" s="4" t="str">
        <f>IF('Expense Data'!E61&lt;='Expense Data'!D61,"On Budget","Over Budget")</f>
        <v>Over Budget</v>
      </c>
    </row>
    <row r="62" spans="1:7" x14ac:dyDescent="0.3">
      <c r="A62" s="3" t="s">
        <v>22</v>
      </c>
      <c r="B62" s="2" t="s">
        <v>31</v>
      </c>
      <c r="C62" s="2" t="s">
        <v>21</v>
      </c>
      <c r="D62" s="2">
        <v>2612</v>
      </c>
      <c r="E62" s="2">
        <v>10393</v>
      </c>
      <c r="F62" s="2" t="s">
        <v>30</v>
      </c>
      <c r="G62" s="4" t="str">
        <f>IF('Expense Data'!E62&lt;='Expense Data'!D62,"On Budget","Over Budget")</f>
        <v>Over Budget</v>
      </c>
    </row>
    <row r="63" spans="1:7" x14ac:dyDescent="0.3">
      <c r="A63" s="3" t="s">
        <v>33</v>
      </c>
      <c r="B63" s="2" t="s">
        <v>10</v>
      </c>
      <c r="C63" s="2" t="s">
        <v>21</v>
      </c>
      <c r="D63" s="2">
        <v>3303</v>
      </c>
      <c r="E63" s="2">
        <v>10146</v>
      </c>
      <c r="F63" s="2" t="s">
        <v>30</v>
      </c>
      <c r="G63" s="4" t="str">
        <f>IF('Expense Data'!E63&lt;='Expense Data'!D63,"On Budget","Over Budget")</f>
        <v>Over Budget</v>
      </c>
    </row>
    <row r="64" spans="1:7" x14ac:dyDescent="0.3">
      <c r="A64" s="3" t="s">
        <v>6</v>
      </c>
      <c r="B64" s="2" t="s">
        <v>28</v>
      </c>
      <c r="C64" s="2" t="s">
        <v>8</v>
      </c>
      <c r="D64" s="2">
        <v>2330</v>
      </c>
      <c r="E64" s="2">
        <v>10226</v>
      </c>
      <c r="F64" s="2" t="s">
        <v>15</v>
      </c>
      <c r="G64" s="4" t="str">
        <f>IF('Expense Data'!E64&lt;='Expense Data'!D64,"On Budget","Over Budget")</f>
        <v>Over Budget</v>
      </c>
    </row>
    <row r="65" spans="1:7" x14ac:dyDescent="0.3">
      <c r="A65" s="3" t="s">
        <v>16</v>
      </c>
      <c r="B65" s="2" t="s">
        <v>7</v>
      </c>
      <c r="C65" s="2" t="s">
        <v>32</v>
      </c>
      <c r="D65" s="2">
        <v>1538</v>
      </c>
      <c r="E65" s="2">
        <v>10463</v>
      </c>
      <c r="F65" s="2" t="s">
        <v>30</v>
      </c>
      <c r="G65" s="4" t="str">
        <f>IF('Expense Data'!E65&lt;='Expense Data'!D65,"On Budget","Over Budget")</f>
        <v>Over Budget</v>
      </c>
    </row>
    <row r="66" spans="1:7" x14ac:dyDescent="0.3">
      <c r="A66" s="3" t="s">
        <v>9</v>
      </c>
      <c r="B66" s="2" t="s">
        <v>31</v>
      </c>
      <c r="C66" s="2" t="s">
        <v>34</v>
      </c>
      <c r="D66" s="2">
        <v>7388</v>
      </c>
      <c r="E66" s="2">
        <v>3895</v>
      </c>
      <c r="F66" s="2" t="s">
        <v>36</v>
      </c>
      <c r="G66" s="4" t="str">
        <f>IF('Expense Data'!E66&lt;='Expense Data'!D66,"On Budget","Over Budget")</f>
        <v>On Budget</v>
      </c>
    </row>
    <row r="67" spans="1:7" x14ac:dyDescent="0.3">
      <c r="A67" s="3" t="s">
        <v>16</v>
      </c>
      <c r="B67" s="2" t="s">
        <v>7</v>
      </c>
      <c r="C67" s="2" t="s">
        <v>32</v>
      </c>
      <c r="D67" s="2">
        <v>4749</v>
      </c>
      <c r="E67" s="2">
        <v>5160</v>
      </c>
      <c r="F67" s="2" t="s">
        <v>30</v>
      </c>
      <c r="G67" s="4" t="str">
        <f>IF('Expense Data'!E67&lt;='Expense Data'!D67,"On Budget","Over Budget")</f>
        <v>Over Budget</v>
      </c>
    </row>
    <row r="68" spans="1:7" x14ac:dyDescent="0.3">
      <c r="A68" s="3" t="s">
        <v>16</v>
      </c>
      <c r="B68" s="2" t="s">
        <v>23</v>
      </c>
      <c r="C68" s="2" t="s">
        <v>26</v>
      </c>
      <c r="D68" s="2">
        <v>6593</v>
      </c>
      <c r="E68" s="2">
        <v>3100</v>
      </c>
      <c r="F68" s="2" t="s">
        <v>15</v>
      </c>
      <c r="G68" s="4" t="str">
        <f>IF('Expense Data'!E68&lt;='Expense Data'!D68,"On Budget","Over Budget")</f>
        <v>On Budget</v>
      </c>
    </row>
    <row r="69" spans="1:7" x14ac:dyDescent="0.3">
      <c r="A69" s="3" t="s">
        <v>16</v>
      </c>
      <c r="B69" s="2" t="s">
        <v>25</v>
      </c>
      <c r="C69" s="2" t="s">
        <v>34</v>
      </c>
      <c r="D69" s="2">
        <v>7024</v>
      </c>
      <c r="E69" s="2">
        <v>6381</v>
      </c>
      <c r="F69" s="2" t="s">
        <v>15</v>
      </c>
      <c r="G69" s="4" t="str">
        <f>IF('Expense Data'!E69&lt;='Expense Data'!D69,"On Budget","Over Budget")</f>
        <v>On Budget</v>
      </c>
    </row>
    <row r="70" spans="1:7" x14ac:dyDescent="0.3">
      <c r="A70" s="3" t="s">
        <v>9</v>
      </c>
      <c r="B70" s="2" t="s">
        <v>31</v>
      </c>
      <c r="C70" s="2" t="s">
        <v>29</v>
      </c>
      <c r="D70" s="2">
        <v>3241</v>
      </c>
      <c r="E70" s="2">
        <v>8302</v>
      </c>
      <c r="F70" s="2" t="s">
        <v>30</v>
      </c>
      <c r="G70" s="4" t="str">
        <f>IF('Expense Data'!E70&lt;='Expense Data'!D70,"On Budget","Over Budget")</f>
        <v>Over Budget</v>
      </c>
    </row>
    <row r="71" spans="1:7" x14ac:dyDescent="0.3">
      <c r="A71" s="3" t="s">
        <v>16</v>
      </c>
      <c r="B71" s="2" t="s">
        <v>31</v>
      </c>
      <c r="C71" s="2" t="s">
        <v>17</v>
      </c>
      <c r="D71" s="2">
        <v>3719</v>
      </c>
      <c r="E71" s="2">
        <v>1349</v>
      </c>
      <c r="F71" s="2" t="s">
        <v>12</v>
      </c>
      <c r="G71" s="4" t="str">
        <f>IF('Expense Data'!E71&lt;='Expense Data'!D71,"On Budget","Over Budget")</f>
        <v>On Budget</v>
      </c>
    </row>
    <row r="72" spans="1:7" x14ac:dyDescent="0.3">
      <c r="A72" s="3" t="s">
        <v>16</v>
      </c>
      <c r="B72" s="2" t="s">
        <v>35</v>
      </c>
      <c r="C72" s="2" t="s">
        <v>14</v>
      </c>
      <c r="D72" s="2">
        <v>7702</v>
      </c>
      <c r="E72" s="2">
        <v>3259</v>
      </c>
      <c r="F72" s="2" t="s">
        <v>12</v>
      </c>
      <c r="G72" s="4" t="str">
        <f>IF('Expense Data'!E72&lt;='Expense Data'!D72,"On Budget","Over Budget")</f>
        <v>On Budget</v>
      </c>
    </row>
    <row r="73" spans="1:7" x14ac:dyDescent="0.3">
      <c r="A73" s="3" t="s">
        <v>6</v>
      </c>
      <c r="B73" s="2" t="s">
        <v>7</v>
      </c>
      <c r="C73" s="2" t="s">
        <v>24</v>
      </c>
      <c r="D73" s="2">
        <v>4486</v>
      </c>
      <c r="E73" s="2">
        <v>8723</v>
      </c>
      <c r="F73" s="2" t="s">
        <v>30</v>
      </c>
      <c r="G73" s="4" t="str">
        <f>IF('Expense Data'!E73&lt;='Expense Data'!D73,"On Budget","Over Budget")</f>
        <v>Over Budget</v>
      </c>
    </row>
    <row r="74" spans="1:7" x14ac:dyDescent="0.3">
      <c r="A74" s="3" t="s">
        <v>16</v>
      </c>
      <c r="B74" s="2" t="s">
        <v>31</v>
      </c>
      <c r="C74" s="2" t="s">
        <v>14</v>
      </c>
      <c r="D74" s="2">
        <v>2756</v>
      </c>
      <c r="E74" s="2">
        <v>4840</v>
      </c>
      <c r="F74" s="2" t="s">
        <v>36</v>
      </c>
      <c r="G74" s="4" t="str">
        <f>IF('Expense Data'!E74&lt;='Expense Data'!D74,"On Budget","Over Budget")</f>
        <v>Over Budget</v>
      </c>
    </row>
    <row r="75" spans="1:7" x14ac:dyDescent="0.3">
      <c r="A75" s="3" t="s">
        <v>9</v>
      </c>
      <c r="B75" s="2" t="s">
        <v>25</v>
      </c>
      <c r="C75" s="2" t="s">
        <v>29</v>
      </c>
      <c r="D75" s="2">
        <v>3915</v>
      </c>
      <c r="E75" s="2">
        <v>11085</v>
      </c>
      <c r="F75" s="2" t="s">
        <v>19</v>
      </c>
      <c r="G75" s="4" t="str">
        <f>IF('Expense Data'!E75&lt;='Expense Data'!D75,"On Budget","Over Budget")</f>
        <v>Over Budget</v>
      </c>
    </row>
    <row r="76" spans="1:7" x14ac:dyDescent="0.3">
      <c r="A76" s="3" t="s">
        <v>16</v>
      </c>
      <c r="B76" s="2" t="s">
        <v>25</v>
      </c>
      <c r="C76" s="2" t="s">
        <v>26</v>
      </c>
      <c r="D76" s="2">
        <v>7072</v>
      </c>
      <c r="E76" s="2">
        <v>4524</v>
      </c>
      <c r="F76" s="2" t="s">
        <v>30</v>
      </c>
      <c r="G76" s="4" t="str">
        <f>IF('Expense Data'!E76&lt;='Expense Data'!D76,"On Budget","Over Budget")</f>
        <v>On Budget</v>
      </c>
    </row>
    <row r="77" spans="1:7" x14ac:dyDescent="0.3">
      <c r="A77" s="3" t="s">
        <v>13</v>
      </c>
      <c r="B77" s="2" t="s">
        <v>25</v>
      </c>
      <c r="C77" s="2" t="s">
        <v>24</v>
      </c>
      <c r="D77" s="2">
        <v>2200</v>
      </c>
      <c r="E77" s="2">
        <v>8995</v>
      </c>
      <c r="F77" s="2" t="s">
        <v>12</v>
      </c>
      <c r="G77" s="4" t="str">
        <f>IF('Expense Data'!E77&lt;='Expense Data'!D77,"On Budget","Over Budget")</f>
        <v>Over Budget</v>
      </c>
    </row>
    <row r="78" spans="1:7" x14ac:dyDescent="0.3">
      <c r="A78" s="3" t="s">
        <v>9</v>
      </c>
      <c r="B78" s="2" t="s">
        <v>7</v>
      </c>
      <c r="C78" s="2" t="s">
        <v>18</v>
      </c>
      <c r="D78" s="2">
        <v>5273</v>
      </c>
      <c r="E78" s="2">
        <v>3315</v>
      </c>
      <c r="F78" s="2" t="s">
        <v>19</v>
      </c>
      <c r="G78" s="4" t="str">
        <f>IF('Expense Data'!E78&lt;='Expense Data'!D78,"On Budget","Over Budget")</f>
        <v>On Budget</v>
      </c>
    </row>
    <row r="79" spans="1:7" x14ac:dyDescent="0.3">
      <c r="A79" s="3" t="s">
        <v>33</v>
      </c>
      <c r="B79" s="2" t="s">
        <v>7</v>
      </c>
      <c r="C79" s="2" t="s">
        <v>34</v>
      </c>
      <c r="D79" s="2">
        <v>1218</v>
      </c>
      <c r="E79" s="2">
        <v>8660</v>
      </c>
      <c r="F79" s="2" t="s">
        <v>12</v>
      </c>
      <c r="G79" s="4" t="str">
        <f>IF('Expense Data'!E79&lt;='Expense Data'!D79,"On Budget","Over Budget")</f>
        <v>Over Budget</v>
      </c>
    </row>
    <row r="80" spans="1:7" x14ac:dyDescent="0.3">
      <c r="A80" s="3" t="s">
        <v>9</v>
      </c>
      <c r="B80" s="2" t="s">
        <v>10</v>
      </c>
      <c r="C80" s="2" t="s">
        <v>20</v>
      </c>
      <c r="D80" s="2">
        <v>2161</v>
      </c>
      <c r="E80" s="2">
        <v>1888</v>
      </c>
      <c r="F80" s="2" t="s">
        <v>12</v>
      </c>
      <c r="G80" s="4" t="str">
        <f>IF('Expense Data'!E80&lt;='Expense Data'!D80,"On Budget","Over Budget")</f>
        <v>On Budget</v>
      </c>
    </row>
    <row r="81" spans="1:7" x14ac:dyDescent="0.3">
      <c r="A81" s="3" t="s">
        <v>33</v>
      </c>
      <c r="B81" s="2" t="s">
        <v>23</v>
      </c>
      <c r="C81" s="2" t="s">
        <v>32</v>
      </c>
      <c r="D81" s="2">
        <v>8194</v>
      </c>
      <c r="E81" s="2">
        <v>4751</v>
      </c>
      <c r="F81" s="2" t="s">
        <v>30</v>
      </c>
      <c r="G81" s="4" t="str">
        <f>IF('Expense Data'!E81&lt;='Expense Data'!D81,"On Budget","Over Budget")</f>
        <v>On Budget</v>
      </c>
    </row>
    <row r="82" spans="1:7" x14ac:dyDescent="0.3">
      <c r="A82" s="3" t="s">
        <v>9</v>
      </c>
      <c r="B82" s="2" t="s">
        <v>35</v>
      </c>
      <c r="C82" s="2" t="s">
        <v>21</v>
      </c>
      <c r="D82" s="2">
        <v>9116</v>
      </c>
      <c r="E82" s="2">
        <v>5223</v>
      </c>
      <c r="F82" s="2" t="s">
        <v>36</v>
      </c>
      <c r="G82" s="4" t="str">
        <f>IF('Expense Data'!E82&lt;='Expense Data'!D82,"On Budget","Over Budget")</f>
        <v>On Budget</v>
      </c>
    </row>
    <row r="83" spans="1:7" x14ac:dyDescent="0.3">
      <c r="A83" s="3" t="s">
        <v>27</v>
      </c>
      <c r="B83" s="2" t="s">
        <v>7</v>
      </c>
      <c r="C83" s="2" t="s">
        <v>34</v>
      </c>
      <c r="D83" s="2">
        <v>9595</v>
      </c>
      <c r="E83" s="2">
        <v>6007</v>
      </c>
      <c r="F83" s="2" t="s">
        <v>12</v>
      </c>
      <c r="G83" s="4" t="str">
        <f>IF('Expense Data'!E83&lt;='Expense Data'!D83,"On Budget","Over Budget")</f>
        <v>On Budget</v>
      </c>
    </row>
    <row r="84" spans="1:7" x14ac:dyDescent="0.3">
      <c r="A84" s="3" t="s">
        <v>16</v>
      </c>
      <c r="B84" s="2" t="s">
        <v>25</v>
      </c>
      <c r="C84" s="2" t="s">
        <v>21</v>
      </c>
      <c r="D84" s="2">
        <v>1068</v>
      </c>
      <c r="E84" s="2">
        <v>1998</v>
      </c>
      <c r="F84" s="2" t="s">
        <v>36</v>
      </c>
      <c r="G84" s="4" t="str">
        <f>IF('Expense Data'!E84&lt;='Expense Data'!D84,"On Budget","Over Budget")</f>
        <v>Over Budget</v>
      </c>
    </row>
    <row r="85" spans="1:7" x14ac:dyDescent="0.3">
      <c r="A85" s="3" t="s">
        <v>27</v>
      </c>
      <c r="B85" s="2" t="s">
        <v>35</v>
      </c>
      <c r="C85" s="2" t="s">
        <v>18</v>
      </c>
      <c r="D85" s="2">
        <v>5069</v>
      </c>
      <c r="E85" s="2">
        <v>7674</v>
      </c>
      <c r="F85" s="2" t="s">
        <v>19</v>
      </c>
      <c r="G85" s="4" t="str">
        <f>IF('Expense Data'!E85&lt;='Expense Data'!D85,"On Budget","Over Budget")</f>
        <v>Over Budget</v>
      </c>
    </row>
    <row r="86" spans="1:7" x14ac:dyDescent="0.3">
      <c r="A86" s="3" t="s">
        <v>27</v>
      </c>
      <c r="B86" s="2" t="s">
        <v>10</v>
      </c>
      <c r="C86" s="2" t="s">
        <v>14</v>
      </c>
      <c r="D86" s="2">
        <v>9975</v>
      </c>
      <c r="E86" s="2">
        <v>9853</v>
      </c>
      <c r="F86" s="2" t="s">
        <v>15</v>
      </c>
      <c r="G86" s="4" t="str">
        <f>IF('Expense Data'!E86&lt;='Expense Data'!D86,"On Budget","Over Budget")</f>
        <v>On Budget</v>
      </c>
    </row>
    <row r="87" spans="1:7" x14ac:dyDescent="0.3">
      <c r="A87" s="3" t="s">
        <v>33</v>
      </c>
      <c r="B87" s="2" t="s">
        <v>23</v>
      </c>
      <c r="C87" s="2" t="s">
        <v>21</v>
      </c>
      <c r="D87" s="2">
        <v>9193</v>
      </c>
      <c r="E87" s="2">
        <v>6411</v>
      </c>
      <c r="F87" s="2" t="s">
        <v>19</v>
      </c>
      <c r="G87" s="4" t="str">
        <f>IF('Expense Data'!E87&lt;='Expense Data'!D87,"On Budget","Over Budget")</f>
        <v>On Budget</v>
      </c>
    </row>
    <row r="88" spans="1:7" x14ac:dyDescent="0.3">
      <c r="A88" s="3" t="s">
        <v>16</v>
      </c>
      <c r="B88" s="2" t="s">
        <v>25</v>
      </c>
      <c r="C88" s="2" t="s">
        <v>8</v>
      </c>
      <c r="D88" s="2">
        <v>7586</v>
      </c>
      <c r="E88" s="2">
        <v>6534</v>
      </c>
      <c r="F88" s="2" t="s">
        <v>12</v>
      </c>
      <c r="G88" s="4" t="str">
        <f>IF('Expense Data'!E88&lt;='Expense Data'!D88,"On Budget","Over Budget")</f>
        <v>On Budget</v>
      </c>
    </row>
    <row r="89" spans="1:7" x14ac:dyDescent="0.3">
      <c r="A89" s="3" t="s">
        <v>16</v>
      </c>
      <c r="B89" s="2" t="s">
        <v>28</v>
      </c>
      <c r="C89" s="2" t="s">
        <v>21</v>
      </c>
      <c r="D89" s="2">
        <v>3579</v>
      </c>
      <c r="E89" s="2">
        <v>4310</v>
      </c>
      <c r="F89" s="2" t="s">
        <v>12</v>
      </c>
      <c r="G89" s="4" t="str">
        <f>IF('Expense Data'!E89&lt;='Expense Data'!D89,"On Budget","Over Budget")</f>
        <v>Over Budget</v>
      </c>
    </row>
    <row r="90" spans="1:7" x14ac:dyDescent="0.3">
      <c r="A90" s="3" t="s">
        <v>27</v>
      </c>
      <c r="B90" s="2" t="s">
        <v>23</v>
      </c>
      <c r="C90" s="2" t="s">
        <v>26</v>
      </c>
      <c r="D90" s="2">
        <v>1352</v>
      </c>
      <c r="E90" s="2">
        <v>10883</v>
      </c>
      <c r="F90" s="2" t="s">
        <v>36</v>
      </c>
      <c r="G90" s="4" t="str">
        <f>IF('Expense Data'!E90&lt;='Expense Data'!D90,"On Budget","Over Budget")</f>
        <v>Over Budget</v>
      </c>
    </row>
    <row r="91" spans="1:7" x14ac:dyDescent="0.3">
      <c r="A91" s="3" t="s">
        <v>22</v>
      </c>
      <c r="B91" s="2" t="s">
        <v>28</v>
      </c>
      <c r="C91" s="2" t="s">
        <v>20</v>
      </c>
      <c r="D91" s="2">
        <v>1963</v>
      </c>
      <c r="E91" s="2">
        <v>1130</v>
      </c>
      <c r="F91" s="2" t="s">
        <v>30</v>
      </c>
      <c r="G91" s="4" t="str">
        <f>IF('Expense Data'!E91&lt;='Expense Data'!D91,"On Budget","Over Budget")</f>
        <v>On Budget</v>
      </c>
    </row>
    <row r="92" spans="1:7" x14ac:dyDescent="0.3">
      <c r="A92" s="3" t="s">
        <v>6</v>
      </c>
      <c r="B92" s="2" t="s">
        <v>25</v>
      </c>
      <c r="C92" s="2" t="s">
        <v>21</v>
      </c>
      <c r="D92" s="2">
        <v>4160</v>
      </c>
      <c r="E92" s="2">
        <v>8610</v>
      </c>
      <c r="F92" s="2" t="s">
        <v>19</v>
      </c>
      <c r="G92" s="4" t="str">
        <f>IF('Expense Data'!E92&lt;='Expense Data'!D92,"On Budget","Over Budget")</f>
        <v>Over Budget</v>
      </c>
    </row>
    <row r="93" spans="1:7" x14ac:dyDescent="0.3">
      <c r="A93" s="3" t="s">
        <v>33</v>
      </c>
      <c r="B93" s="2" t="s">
        <v>28</v>
      </c>
      <c r="C93" s="2" t="s">
        <v>17</v>
      </c>
      <c r="D93" s="2">
        <v>8651</v>
      </c>
      <c r="E93" s="2">
        <v>9566</v>
      </c>
      <c r="F93" s="2" t="s">
        <v>36</v>
      </c>
      <c r="G93" s="4" t="str">
        <f>IF('Expense Data'!E93&lt;='Expense Data'!D93,"On Budget","Over Budget")</f>
        <v>Over Budget</v>
      </c>
    </row>
    <row r="94" spans="1:7" x14ac:dyDescent="0.3">
      <c r="A94" s="3" t="s">
        <v>16</v>
      </c>
      <c r="B94" s="2" t="s">
        <v>28</v>
      </c>
      <c r="C94" s="2" t="s">
        <v>17</v>
      </c>
      <c r="D94" s="2">
        <v>8153</v>
      </c>
      <c r="E94" s="2">
        <v>4754</v>
      </c>
      <c r="F94" s="2" t="s">
        <v>19</v>
      </c>
      <c r="G94" s="4" t="str">
        <f>IF('Expense Data'!E94&lt;='Expense Data'!D94,"On Budget","Over Budget")</f>
        <v>On Budget</v>
      </c>
    </row>
    <row r="95" spans="1:7" x14ac:dyDescent="0.3">
      <c r="A95" s="3" t="s">
        <v>9</v>
      </c>
      <c r="B95" s="2" t="s">
        <v>31</v>
      </c>
      <c r="C95" s="2" t="s">
        <v>17</v>
      </c>
      <c r="D95" s="2">
        <v>6888</v>
      </c>
      <c r="E95" s="2">
        <v>3991</v>
      </c>
      <c r="F95" s="2" t="s">
        <v>12</v>
      </c>
      <c r="G95" s="4" t="str">
        <f>IF('Expense Data'!E95&lt;='Expense Data'!D95,"On Budget","Over Budget")</f>
        <v>On Budget</v>
      </c>
    </row>
    <row r="96" spans="1:7" x14ac:dyDescent="0.3">
      <c r="A96" s="3" t="s">
        <v>9</v>
      </c>
      <c r="B96" s="2" t="s">
        <v>10</v>
      </c>
      <c r="C96" s="2" t="s">
        <v>17</v>
      </c>
      <c r="D96" s="2">
        <v>5089</v>
      </c>
      <c r="E96" s="2">
        <v>7252</v>
      </c>
      <c r="F96" s="2" t="s">
        <v>12</v>
      </c>
      <c r="G96" s="4" t="str">
        <f>IF('Expense Data'!E96&lt;='Expense Data'!D96,"On Budget","Over Budget")</f>
        <v>Over Budget</v>
      </c>
    </row>
    <row r="97" spans="1:7" x14ac:dyDescent="0.3">
      <c r="A97" s="3" t="s">
        <v>6</v>
      </c>
      <c r="B97" s="2" t="s">
        <v>23</v>
      </c>
      <c r="C97" s="2" t="s">
        <v>8</v>
      </c>
      <c r="D97" s="2">
        <v>6400</v>
      </c>
      <c r="E97" s="2">
        <v>11481</v>
      </c>
      <c r="F97" s="2" t="s">
        <v>15</v>
      </c>
      <c r="G97" s="4" t="str">
        <f>IF('Expense Data'!E97&lt;='Expense Data'!D97,"On Budget","Over Budget")</f>
        <v>Over Budget</v>
      </c>
    </row>
    <row r="98" spans="1:7" x14ac:dyDescent="0.3">
      <c r="A98" s="3" t="s">
        <v>16</v>
      </c>
      <c r="B98" s="2" t="s">
        <v>31</v>
      </c>
      <c r="C98" s="2" t="s">
        <v>8</v>
      </c>
      <c r="D98" s="2">
        <v>4348</v>
      </c>
      <c r="E98" s="2">
        <v>8465</v>
      </c>
      <c r="F98" s="2" t="s">
        <v>36</v>
      </c>
      <c r="G98" s="4" t="str">
        <f>IF('Expense Data'!E98&lt;='Expense Data'!D98,"On Budget","Over Budget")</f>
        <v>Over Budget</v>
      </c>
    </row>
    <row r="99" spans="1:7" x14ac:dyDescent="0.3">
      <c r="A99" s="3" t="s">
        <v>13</v>
      </c>
      <c r="B99" s="2" t="s">
        <v>35</v>
      </c>
      <c r="C99" s="2" t="s">
        <v>21</v>
      </c>
      <c r="D99" s="2">
        <v>3871</v>
      </c>
      <c r="E99" s="2">
        <v>2944</v>
      </c>
      <c r="F99" s="2" t="s">
        <v>30</v>
      </c>
      <c r="G99" s="4" t="str">
        <f>IF('Expense Data'!E99&lt;='Expense Data'!D99,"On Budget","Over Budget")</f>
        <v>On Budget</v>
      </c>
    </row>
    <row r="100" spans="1:7" x14ac:dyDescent="0.3">
      <c r="A100" s="3" t="s">
        <v>13</v>
      </c>
      <c r="B100" s="2" t="s">
        <v>7</v>
      </c>
      <c r="C100" s="2" t="s">
        <v>17</v>
      </c>
      <c r="D100" s="2">
        <v>2588</v>
      </c>
      <c r="E100" s="2">
        <v>6655</v>
      </c>
      <c r="F100" s="2" t="s">
        <v>15</v>
      </c>
      <c r="G100" s="4" t="str">
        <f>IF('Expense Data'!E100&lt;='Expense Data'!D100,"On Budget","Over Budget")</f>
        <v>Over Budget</v>
      </c>
    </row>
    <row r="101" spans="1:7" x14ac:dyDescent="0.3">
      <c r="A101" s="3" t="s">
        <v>6</v>
      </c>
      <c r="B101" s="2" t="s">
        <v>23</v>
      </c>
      <c r="C101" s="2" t="s">
        <v>8</v>
      </c>
      <c r="D101" s="2">
        <v>5419</v>
      </c>
      <c r="E101" s="2">
        <v>10036</v>
      </c>
      <c r="F101" s="2" t="s">
        <v>15</v>
      </c>
      <c r="G101" s="4" t="str">
        <f>IF('Expense Data'!E101&lt;='Expense Data'!D101,"On Budget","Over Budget")</f>
        <v>Over Budget</v>
      </c>
    </row>
    <row r="102" spans="1:7" x14ac:dyDescent="0.3">
      <c r="A102" s="3" t="s">
        <v>6</v>
      </c>
      <c r="B102" s="2" t="s">
        <v>28</v>
      </c>
      <c r="C102" s="2" t="s">
        <v>32</v>
      </c>
      <c r="D102" s="2">
        <v>6484</v>
      </c>
      <c r="E102" s="2">
        <v>11321</v>
      </c>
      <c r="F102" s="2" t="s">
        <v>15</v>
      </c>
      <c r="G102" s="4" t="str">
        <f>IF('Expense Data'!E102&lt;='Expense Data'!D102,"On Budget","Over Budget")</f>
        <v>Over Budget</v>
      </c>
    </row>
    <row r="103" spans="1:7" x14ac:dyDescent="0.3">
      <c r="A103" s="3" t="s">
        <v>33</v>
      </c>
      <c r="B103" s="2" t="s">
        <v>31</v>
      </c>
      <c r="C103" s="2" t="s">
        <v>21</v>
      </c>
      <c r="D103" s="2">
        <v>2824</v>
      </c>
      <c r="E103" s="2">
        <v>4259</v>
      </c>
      <c r="F103" s="2" t="s">
        <v>30</v>
      </c>
      <c r="G103" s="4" t="str">
        <f>IF('Expense Data'!E103&lt;='Expense Data'!D103,"On Budget","Over Budget")</f>
        <v>Over Budget</v>
      </c>
    </row>
    <row r="104" spans="1:7" x14ac:dyDescent="0.3">
      <c r="A104" s="3" t="s">
        <v>6</v>
      </c>
      <c r="B104" s="2" t="s">
        <v>25</v>
      </c>
      <c r="C104" s="2" t="s">
        <v>18</v>
      </c>
      <c r="D104" s="2">
        <v>3283</v>
      </c>
      <c r="E104" s="2">
        <v>2284</v>
      </c>
      <c r="F104" s="2" t="s">
        <v>30</v>
      </c>
      <c r="G104" s="4" t="str">
        <f>IF('Expense Data'!E104&lt;='Expense Data'!D104,"On Budget","Over Budget")</f>
        <v>On Budget</v>
      </c>
    </row>
    <row r="105" spans="1:7" x14ac:dyDescent="0.3">
      <c r="A105" s="3" t="s">
        <v>16</v>
      </c>
      <c r="B105" s="2" t="s">
        <v>23</v>
      </c>
      <c r="C105" s="2" t="s">
        <v>21</v>
      </c>
      <c r="D105" s="2">
        <v>1385</v>
      </c>
      <c r="E105" s="2">
        <v>3043</v>
      </c>
      <c r="F105" s="2" t="s">
        <v>30</v>
      </c>
      <c r="G105" s="4" t="str">
        <f>IF('Expense Data'!E105&lt;='Expense Data'!D105,"On Budget","Over Budget")</f>
        <v>Over Budget</v>
      </c>
    </row>
    <row r="106" spans="1:7" x14ac:dyDescent="0.3">
      <c r="A106" s="3" t="s">
        <v>16</v>
      </c>
      <c r="B106" s="2" t="s">
        <v>31</v>
      </c>
      <c r="C106" s="2" t="s">
        <v>21</v>
      </c>
      <c r="D106" s="2">
        <v>5925</v>
      </c>
      <c r="E106" s="2">
        <v>1611</v>
      </c>
      <c r="F106" s="2" t="s">
        <v>15</v>
      </c>
      <c r="G106" s="4" t="str">
        <f>IF('Expense Data'!E106&lt;='Expense Data'!D106,"On Budget","Over Budget")</f>
        <v>On Budget</v>
      </c>
    </row>
    <row r="107" spans="1:7" x14ac:dyDescent="0.3">
      <c r="A107" s="3" t="s">
        <v>22</v>
      </c>
      <c r="B107" s="2" t="s">
        <v>7</v>
      </c>
      <c r="C107" s="2" t="s">
        <v>29</v>
      </c>
      <c r="D107" s="2">
        <v>4713</v>
      </c>
      <c r="E107" s="2">
        <v>1374</v>
      </c>
      <c r="F107" s="2" t="s">
        <v>36</v>
      </c>
      <c r="G107" s="4" t="str">
        <f>IF('Expense Data'!E107&lt;='Expense Data'!D107,"On Budget","Over Budget")</f>
        <v>On Budget</v>
      </c>
    </row>
    <row r="108" spans="1:7" x14ac:dyDescent="0.3">
      <c r="A108" s="3" t="s">
        <v>6</v>
      </c>
      <c r="B108" s="2" t="s">
        <v>31</v>
      </c>
      <c r="C108" s="2" t="s">
        <v>24</v>
      </c>
      <c r="D108" s="2">
        <v>9681</v>
      </c>
      <c r="E108" s="2">
        <v>11376</v>
      </c>
      <c r="F108" s="2" t="s">
        <v>15</v>
      </c>
      <c r="G108" s="4" t="str">
        <f>IF('Expense Data'!E108&lt;='Expense Data'!D108,"On Budget","Over Budget")</f>
        <v>Over Budget</v>
      </c>
    </row>
    <row r="109" spans="1:7" x14ac:dyDescent="0.3">
      <c r="A109" s="3" t="s">
        <v>16</v>
      </c>
      <c r="B109" s="2" t="s">
        <v>10</v>
      </c>
      <c r="C109" s="2" t="s">
        <v>18</v>
      </c>
      <c r="D109" s="2">
        <v>3056</v>
      </c>
      <c r="E109" s="2">
        <v>9707</v>
      </c>
      <c r="F109" s="2" t="s">
        <v>30</v>
      </c>
      <c r="G109" s="4" t="str">
        <f>IF('Expense Data'!E109&lt;='Expense Data'!D109,"On Budget","Over Budget")</f>
        <v>Over Budget</v>
      </c>
    </row>
    <row r="110" spans="1:7" x14ac:dyDescent="0.3">
      <c r="A110" s="3" t="s">
        <v>22</v>
      </c>
      <c r="B110" s="2" t="s">
        <v>10</v>
      </c>
      <c r="C110" s="2" t="s">
        <v>17</v>
      </c>
      <c r="D110" s="2">
        <v>2839</v>
      </c>
      <c r="E110" s="2">
        <v>831</v>
      </c>
      <c r="F110" s="2" t="s">
        <v>12</v>
      </c>
      <c r="G110" s="4" t="str">
        <f>IF('Expense Data'!E110&lt;='Expense Data'!D110,"On Budget","Over Budget")</f>
        <v>On Budget</v>
      </c>
    </row>
    <row r="111" spans="1:7" x14ac:dyDescent="0.3">
      <c r="A111" s="3" t="s">
        <v>27</v>
      </c>
      <c r="B111" s="2" t="s">
        <v>23</v>
      </c>
      <c r="C111" s="2" t="s">
        <v>24</v>
      </c>
      <c r="D111" s="2">
        <v>8899</v>
      </c>
      <c r="E111" s="2">
        <v>10544</v>
      </c>
      <c r="F111" s="2" t="s">
        <v>19</v>
      </c>
      <c r="G111" s="4" t="str">
        <f>IF('Expense Data'!E111&lt;='Expense Data'!D111,"On Budget","Over Budget")</f>
        <v>Over Budget</v>
      </c>
    </row>
    <row r="112" spans="1:7" x14ac:dyDescent="0.3">
      <c r="A112" s="3" t="s">
        <v>27</v>
      </c>
      <c r="B112" s="2" t="s">
        <v>35</v>
      </c>
      <c r="C112" s="2" t="s">
        <v>29</v>
      </c>
      <c r="D112" s="2">
        <v>4949</v>
      </c>
      <c r="E112" s="2">
        <v>9798</v>
      </c>
      <c r="F112" s="2" t="s">
        <v>12</v>
      </c>
      <c r="G112" s="4" t="str">
        <f>IF('Expense Data'!E112&lt;='Expense Data'!D112,"On Budget","Over Budget")</f>
        <v>Over Budget</v>
      </c>
    </row>
    <row r="113" spans="1:7" x14ac:dyDescent="0.3">
      <c r="A113" s="3" t="s">
        <v>13</v>
      </c>
      <c r="B113" s="2" t="s">
        <v>28</v>
      </c>
      <c r="C113" s="2" t="s">
        <v>8</v>
      </c>
      <c r="D113" s="2">
        <v>6496</v>
      </c>
      <c r="E113" s="2">
        <v>6564</v>
      </c>
      <c r="F113" s="2" t="s">
        <v>12</v>
      </c>
      <c r="G113" s="4" t="str">
        <f>IF('Expense Data'!E113&lt;='Expense Data'!D113,"On Budget","Over Budget")</f>
        <v>Over Budget</v>
      </c>
    </row>
    <row r="114" spans="1:7" x14ac:dyDescent="0.3">
      <c r="A114" s="3" t="s">
        <v>16</v>
      </c>
      <c r="B114" s="2" t="s">
        <v>31</v>
      </c>
      <c r="C114" s="2" t="s">
        <v>17</v>
      </c>
      <c r="D114" s="2">
        <v>8018</v>
      </c>
      <c r="E114" s="2">
        <v>10019</v>
      </c>
      <c r="F114" s="2" t="s">
        <v>15</v>
      </c>
      <c r="G114" s="4" t="str">
        <f>IF('Expense Data'!E114&lt;='Expense Data'!D114,"On Budget","Over Budget")</f>
        <v>Over Budget</v>
      </c>
    </row>
    <row r="115" spans="1:7" x14ac:dyDescent="0.3">
      <c r="A115" s="3" t="s">
        <v>33</v>
      </c>
      <c r="B115" s="2" t="s">
        <v>7</v>
      </c>
      <c r="C115" s="2" t="s">
        <v>20</v>
      </c>
      <c r="D115" s="2">
        <v>1923</v>
      </c>
      <c r="E115" s="2">
        <v>3834</v>
      </c>
      <c r="F115" s="2" t="s">
        <v>36</v>
      </c>
      <c r="G115" s="4" t="str">
        <f>IF('Expense Data'!E115&lt;='Expense Data'!D115,"On Budget","Over Budget")</f>
        <v>Over Budget</v>
      </c>
    </row>
    <row r="116" spans="1:7" x14ac:dyDescent="0.3">
      <c r="A116" s="3" t="s">
        <v>27</v>
      </c>
      <c r="B116" s="2" t="s">
        <v>7</v>
      </c>
      <c r="C116" s="2" t="s">
        <v>11</v>
      </c>
      <c r="D116" s="2">
        <v>1159</v>
      </c>
      <c r="E116" s="2">
        <v>9243</v>
      </c>
      <c r="F116" s="2" t="s">
        <v>12</v>
      </c>
      <c r="G116" s="4" t="str">
        <f>IF('Expense Data'!E116&lt;='Expense Data'!D116,"On Budget","Over Budget")</f>
        <v>Over Budget</v>
      </c>
    </row>
    <row r="117" spans="1:7" x14ac:dyDescent="0.3">
      <c r="A117" s="3" t="s">
        <v>16</v>
      </c>
      <c r="B117" s="2" t="s">
        <v>25</v>
      </c>
      <c r="C117" s="2" t="s">
        <v>11</v>
      </c>
      <c r="D117" s="2">
        <v>1952</v>
      </c>
      <c r="E117" s="2">
        <v>1646</v>
      </c>
      <c r="F117" s="2" t="s">
        <v>19</v>
      </c>
      <c r="G117" s="4" t="str">
        <f>IF('Expense Data'!E117&lt;='Expense Data'!D117,"On Budget","Over Budget")</f>
        <v>On Budget</v>
      </c>
    </row>
    <row r="118" spans="1:7" x14ac:dyDescent="0.3">
      <c r="A118" s="3" t="s">
        <v>33</v>
      </c>
      <c r="B118" s="2" t="s">
        <v>7</v>
      </c>
      <c r="C118" s="2" t="s">
        <v>29</v>
      </c>
      <c r="D118" s="2">
        <v>3819</v>
      </c>
      <c r="E118" s="2">
        <v>4948</v>
      </c>
      <c r="F118" s="2" t="s">
        <v>12</v>
      </c>
      <c r="G118" s="4" t="str">
        <f>IF('Expense Data'!E118&lt;='Expense Data'!D118,"On Budget","Over Budget")</f>
        <v>Over Budget</v>
      </c>
    </row>
    <row r="119" spans="1:7" x14ac:dyDescent="0.3">
      <c r="A119" s="3" t="s">
        <v>6</v>
      </c>
      <c r="B119" s="2" t="s">
        <v>10</v>
      </c>
      <c r="C119" s="2" t="s">
        <v>26</v>
      </c>
      <c r="D119" s="2">
        <v>2063</v>
      </c>
      <c r="E119" s="2">
        <v>6424</v>
      </c>
      <c r="F119" s="2" t="s">
        <v>19</v>
      </c>
      <c r="G119" s="4" t="str">
        <f>IF('Expense Data'!E119&lt;='Expense Data'!D119,"On Budget","Over Budget")</f>
        <v>Over Budget</v>
      </c>
    </row>
    <row r="120" spans="1:7" x14ac:dyDescent="0.3">
      <c r="A120" s="3" t="s">
        <v>6</v>
      </c>
      <c r="B120" s="2" t="s">
        <v>28</v>
      </c>
      <c r="C120" s="2" t="s">
        <v>21</v>
      </c>
      <c r="D120" s="2">
        <v>1566</v>
      </c>
      <c r="E120" s="2">
        <v>6043</v>
      </c>
      <c r="F120" s="2" t="s">
        <v>19</v>
      </c>
      <c r="G120" s="4" t="str">
        <f>IF('Expense Data'!E120&lt;='Expense Data'!D120,"On Budget","Over Budget")</f>
        <v>Over Budget</v>
      </c>
    </row>
    <row r="121" spans="1:7" x14ac:dyDescent="0.3">
      <c r="A121" s="3" t="s">
        <v>33</v>
      </c>
      <c r="B121" s="2" t="s">
        <v>31</v>
      </c>
      <c r="C121" s="2" t="s">
        <v>32</v>
      </c>
      <c r="D121" s="2">
        <v>3485</v>
      </c>
      <c r="E121" s="2">
        <v>2227</v>
      </c>
      <c r="F121" s="2" t="s">
        <v>19</v>
      </c>
      <c r="G121" s="4" t="str">
        <f>IF('Expense Data'!E121&lt;='Expense Data'!D121,"On Budget","Over Budget")</f>
        <v>On Budget</v>
      </c>
    </row>
    <row r="122" spans="1:7" x14ac:dyDescent="0.3">
      <c r="A122" s="3" t="s">
        <v>22</v>
      </c>
      <c r="B122" s="2" t="s">
        <v>28</v>
      </c>
      <c r="C122" s="2" t="s">
        <v>32</v>
      </c>
      <c r="D122" s="2">
        <v>9141</v>
      </c>
      <c r="E122" s="2">
        <v>10040</v>
      </c>
      <c r="F122" s="2" t="s">
        <v>30</v>
      </c>
      <c r="G122" s="4" t="str">
        <f>IF('Expense Data'!E122&lt;='Expense Data'!D122,"On Budget","Over Budget")</f>
        <v>Over Budget</v>
      </c>
    </row>
    <row r="123" spans="1:7" x14ac:dyDescent="0.3">
      <c r="A123" s="3" t="s">
        <v>13</v>
      </c>
      <c r="B123" s="2" t="s">
        <v>10</v>
      </c>
      <c r="C123" s="2" t="s">
        <v>14</v>
      </c>
      <c r="D123" s="2">
        <v>3619</v>
      </c>
      <c r="E123" s="2">
        <v>6866</v>
      </c>
      <c r="F123" s="2" t="s">
        <v>15</v>
      </c>
      <c r="G123" s="4" t="str">
        <f>IF('Expense Data'!E123&lt;='Expense Data'!D123,"On Budget","Over Budget")</f>
        <v>Over Budget</v>
      </c>
    </row>
    <row r="124" spans="1:7" x14ac:dyDescent="0.3">
      <c r="A124" s="3" t="s">
        <v>13</v>
      </c>
      <c r="B124" s="2" t="s">
        <v>31</v>
      </c>
      <c r="C124" s="2" t="s">
        <v>18</v>
      </c>
      <c r="D124" s="2">
        <v>1302</v>
      </c>
      <c r="E124" s="2">
        <v>10929</v>
      </c>
      <c r="F124" s="2" t="s">
        <v>30</v>
      </c>
      <c r="G124" s="4" t="str">
        <f>IF('Expense Data'!E124&lt;='Expense Data'!D124,"On Budget","Over Budget")</f>
        <v>Over Budget</v>
      </c>
    </row>
    <row r="125" spans="1:7" x14ac:dyDescent="0.3">
      <c r="A125" s="3" t="s">
        <v>33</v>
      </c>
      <c r="B125" s="2" t="s">
        <v>31</v>
      </c>
      <c r="C125" s="2" t="s">
        <v>18</v>
      </c>
      <c r="D125" s="2">
        <v>1816</v>
      </c>
      <c r="E125" s="2">
        <v>3942</v>
      </c>
      <c r="F125" s="2" t="s">
        <v>12</v>
      </c>
      <c r="G125" s="4" t="str">
        <f>IF('Expense Data'!E125&lt;='Expense Data'!D125,"On Budget","Over Budget")</f>
        <v>Over Budget</v>
      </c>
    </row>
    <row r="126" spans="1:7" x14ac:dyDescent="0.3">
      <c r="A126" s="3" t="s">
        <v>13</v>
      </c>
      <c r="B126" s="2" t="s">
        <v>10</v>
      </c>
      <c r="C126" s="2" t="s">
        <v>26</v>
      </c>
      <c r="D126" s="2">
        <v>2553</v>
      </c>
      <c r="E126" s="2">
        <v>3881</v>
      </c>
      <c r="F126" s="2" t="s">
        <v>12</v>
      </c>
      <c r="G126" s="4" t="str">
        <f>IF('Expense Data'!E126&lt;='Expense Data'!D126,"On Budget","Over Budget")</f>
        <v>Over Budget</v>
      </c>
    </row>
    <row r="127" spans="1:7" x14ac:dyDescent="0.3">
      <c r="A127" s="3" t="s">
        <v>33</v>
      </c>
      <c r="B127" s="2" t="s">
        <v>7</v>
      </c>
      <c r="C127" s="2" t="s">
        <v>34</v>
      </c>
      <c r="D127" s="2">
        <v>8243</v>
      </c>
      <c r="E127" s="2">
        <v>10125</v>
      </c>
      <c r="F127" s="2" t="s">
        <v>12</v>
      </c>
      <c r="G127" s="4" t="str">
        <f>IF('Expense Data'!E127&lt;='Expense Data'!D127,"On Budget","Over Budget")</f>
        <v>Over Budget</v>
      </c>
    </row>
    <row r="128" spans="1:7" x14ac:dyDescent="0.3">
      <c r="A128" s="3" t="s">
        <v>6</v>
      </c>
      <c r="B128" s="2" t="s">
        <v>23</v>
      </c>
      <c r="C128" s="2" t="s">
        <v>29</v>
      </c>
      <c r="D128" s="2">
        <v>6346</v>
      </c>
      <c r="E128" s="2">
        <v>6459</v>
      </c>
      <c r="F128" s="2" t="s">
        <v>19</v>
      </c>
      <c r="G128" s="4" t="str">
        <f>IF('Expense Data'!E128&lt;='Expense Data'!D128,"On Budget","Over Budget")</f>
        <v>Over Budget</v>
      </c>
    </row>
    <row r="129" spans="1:7" x14ac:dyDescent="0.3">
      <c r="A129" s="3" t="s">
        <v>16</v>
      </c>
      <c r="B129" s="2" t="s">
        <v>25</v>
      </c>
      <c r="C129" s="2" t="s">
        <v>26</v>
      </c>
      <c r="D129" s="2">
        <v>3615</v>
      </c>
      <c r="E129" s="2">
        <v>3735</v>
      </c>
      <c r="F129" s="2" t="s">
        <v>19</v>
      </c>
      <c r="G129" s="4" t="str">
        <f>IF('Expense Data'!E129&lt;='Expense Data'!D129,"On Budget","Over Budget")</f>
        <v>Over Budget</v>
      </c>
    </row>
    <row r="130" spans="1:7" x14ac:dyDescent="0.3">
      <c r="A130" s="3" t="s">
        <v>9</v>
      </c>
      <c r="B130" s="2" t="s">
        <v>28</v>
      </c>
      <c r="C130" s="2" t="s">
        <v>29</v>
      </c>
      <c r="D130" s="2">
        <v>5399</v>
      </c>
      <c r="E130" s="2">
        <v>6127</v>
      </c>
      <c r="F130" s="2" t="s">
        <v>36</v>
      </c>
      <c r="G130" s="4" t="str">
        <f>IF('Expense Data'!E130&lt;='Expense Data'!D130,"On Budget","Over Budget")</f>
        <v>Over Budget</v>
      </c>
    </row>
    <row r="131" spans="1:7" x14ac:dyDescent="0.3">
      <c r="A131" s="3" t="s">
        <v>27</v>
      </c>
      <c r="B131" s="2" t="s">
        <v>10</v>
      </c>
      <c r="C131" s="2" t="s">
        <v>32</v>
      </c>
      <c r="D131" s="2">
        <v>5806</v>
      </c>
      <c r="E131" s="2">
        <v>2415</v>
      </c>
      <c r="F131" s="2" t="s">
        <v>15</v>
      </c>
      <c r="G131" s="4" t="str">
        <f>IF('Expense Data'!E131&lt;='Expense Data'!D131,"On Budget","Over Budget")</f>
        <v>On Budget</v>
      </c>
    </row>
    <row r="132" spans="1:7" x14ac:dyDescent="0.3">
      <c r="A132" s="3" t="s">
        <v>33</v>
      </c>
      <c r="B132" s="2" t="s">
        <v>10</v>
      </c>
      <c r="C132" s="2" t="s">
        <v>11</v>
      </c>
      <c r="D132" s="2">
        <v>1837</v>
      </c>
      <c r="E132" s="2">
        <v>7341</v>
      </c>
      <c r="F132" s="2" t="s">
        <v>19</v>
      </c>
      <c r="G132" s="4" t="str">
        <f>IF('Expense Data'!E132&lt;='Expense Data'!D132,"On Budget","Over Budget")</f>
        <v>Over Budget</v>
      </c>
    </row>
    <row r="133" spans="1:7" x14ac:dyDescent="0.3">
      <c r="A133" s="3" t="s">
        <v>6</v>
      </c>
      <c r="B133" s="2" t="s">
        <v>25</v>
      </c>
      <c r="C133" s="2" t="s">
        <v>21</v>
      </c>
      <c r="D133" s="2">
        <v>1585</v>
      </c>
      <c r="E133" s="2">
        <v>8036</v>
      </c>
      <c r="F133" s="2" t="s">
        <v>19</v>
      </c>
      <c r="G133" s="4" t="str">
        <f>IF('Expense Data'!E133&lt;='Expense Data'!D133,"On Budget","Over Budget")</f>
        <v>Over Budget</v>
      </c>
    </row>
    <row r="134" spans="1:7" x14ac:dyDescent="0.3">
      <c r="A134" s="3" t="s">
        <v>6</v>
      </c>
      <c r="B134" s="2" t="s">
        <v>25</v>
      </c>
      <c r="C134" s="2" t="s">
        <v>18</v>
      </c>
      <c r="D134" s="2">
        <v>4704</v>
      </c>
      <c r="E134" s="2">
        <v>1099</v>
      </c>
      <c r="F134" s="2" t="s">
        <v>12</v>
      </c>
      <c r="G134" s="4" t="str">
        <f>IF('Expense Data'!E134&lt;='Expense Data'!D134,"On Budget","Over Budget")</f>
        <v>On Budget</v>
      </c>
    </row>
    <row r="135" spans="1:7" x14ac:dyDescent="0.3">
      <c r="A135" s="3" t="s">
        <v>9</v>
      </c>
      <c r="B135" s="2" t="s">
        <v>25</v>
      </c>
      <c r="C135" s="2" t="s">
        <v>32</v>
      </c>
      <c r="D135" s="2">
        <v>6386</v>
      </c>
      <c r="E135" s="2">
        <v>6028</v>
      </c>
      <c r="F135" s="2" t="s">
        <v>19</v>
      </c>
      <c r="G135" s="4" t="str">
        <f>IF('Expense Data'!E135&lt;='Expense Data'!D135,"On Budget","Over Budget")</f>
        <v>On Budget</v>
      </c>
    </row>
    <row r="136" spans="1:7" x14ac:dyDescent="0.3">
      <c r="A136" s="3" t="s">
        <v>9</v>
      </c>
      <c r="B136" s="2" t="s">
        <v>35</v>
      </c>
      <c r="C136" s="2" t="s">
        <v>17</v>
      </c>
      <c r="D136" s="2">
        <v>7733</v>
      </c>
      <c r="E136" s="2">
        <v>4773</v>
      </c>
      <c r="F136" s="2" t="s">
        <v>19</v>
      </c>
      <c r="G136" s="4" t="str">
        <f>IF('Expense Data'!E136&lt;='Expense Data'!D136,"On Budget","Over Budget")</f>
        <v>On Budget</v>
      </c>
    </row>
    <row r="137" spans="1:7" x14ac:dyDescent="0.3">
      <c r="A137" s="3" t="s">
        <v>33</v>
      </c>
      <c r="B137" s="2" t="s">
        <v>28</v>
      </c>
      <c r="C137" s="2" t="s">
        <v>26</v>
      </c>
      <c r="D137" s="2">
        <v>4382</v>
      </c>
      <c r="E137" s="2">
        <v>2988</v>
      </c>
      <c r="F137" s="2" t="s">
        <v>36</v>
      </c>
      <c r="G137" s="4" t="str">
        <f>IF('Expense Data'!E137&lt;='Expense Data'!D137,"On Budget","Over Budget")</f>
        <v>On Budget</v>
      </c>
    </row>
    <row r="138" spans="1:7" x14ac:dyDescent="0.3">
      <c r="A138" s="3" t="s">
        <v>27</v>
      </c>
      <c r="B138" s="2" t="s">
        <v>23</v>
      </c>
      <c r="C138" s="2" t="s">
        <v>11</v>
      </c>
      <c r="D138" s="2">
        <v>7398</v>
      </c>
      <c r="E138" s="2">
        <v>11208</v>
      </c>
      <c r="F138" s="2" t="s">
        <v>36</v>
      </c>
      <c r="G138" s="4" t="str">
        <f>IF('Expense Data'!E138&lt;='Expense Data'!D138,"On Budget","Over Budget")</f>
        <v>Over Budget</v>
      </c>
    </row>
    <row r="139" spans="1:7" x14ac:dyDescent="0.3">
      <c r="A139" s="3" t="s">
        <v>22</v>
      </c>
      <c r="B139" s="2" t="s">
        <v>28</v>
      </c>
      <c r="C139" s="2" t="s">
        <v>34</v>
      </c>
      <c r="D139" s="2">
        <v>9867</v>
      </c>
      <c r="E139" s="2">
        <v>8693</v>
      </c>
      <c r="F139" s="2" t="s">
        <v>36</v>
      </c>
      <c r="G139" s="4" t="str">
        <f>IF('Expense Data'!E139&lt;='Expense Data'!D139,"On Budget","Over Budget")</f>
        <v>On Budget</v>
      </c>
    </row>
    <row r="140" spans="1:7" x14ac:dyDescent="0.3">
      <c r="A140" s="3" t="s">
        <v>6</v>
      </c>
      <c r="B140" s="2" t="s">
        <v>7</v>
      </c>
      <c r="C140" s="2" t="s">
        <v>18</v>
      </c>
      <c r="D140" s="2">
        <v>8813</v>
      </c>
      <c r="E140" s="2">
        <v>8553</v>
      </c>
      <c r="F140" s="2" t="s">
        <v>12</v>
      </c>
      <c r="G140" s="4" t="str">
        <f>IF('Expense Data'!E140&lt;='Expense Data'!D140,"On Budget","Over Budget")</f>
        <v>On Budget</v>
      </c>
    </row>
    <row r="141" spans="1:7" x14ac:dyDescent="0.3">
      <c r="A141" s="3" t="s">
        <v>13</v>
      </c>
      <c r="B141" s="2" t="s">
        <v>28</v>
      </c>
      <c r="C141" s="2" t="s">
        <v>32</v>
      </c>
      <c r="D141" s="2">
        <v>7276</v>
      </c>
      <c r="E141" s="2">
        <v>7102</v>
      </c>
      <c r="F141" s="2" t="s">
        <v>19</v>
      </c>
      <c r="G141" s="4" t="str">
        <f>IF('Expense Data'!E141&lt;='Expense Data'!D141,"On Budget","Over Budget")</f>
        <v>On Budget</v>
      </c>
    </row>
    <row r="142" spans="1:7" x14ac:dyDescent="0.3">
      <c r="A142" s="3" t="s">
        <v>13</v>
      </c>
      <c r="B142" s="2" t="s">
        <v>7</v>
      </c>
      <c r="C142" s="2" t="s">
        <v>32</v>
      </c>
      <c r="D142" s="2">
        <v>8998</v>
      </c>
      <c r="E142" s="2">
        <v>11610</v>
      </c>
      <c r="F142" s="2" t="s">
        <v>15</v>
      </c>
      <c r="G142" s="4" t="str">
        <f>IF('Expense Data'!E142&lt;='Expense Data'!D142,"On Budget","Over Budget")</f>
        <v>Over Budget</v>
      </c>
    </row>
    <row r="143" spans="1:7" x14ac:dyDescent="0.3">
      <c r="A143" s="3" t="s">
        <v>27</v>
      </c>
      <c r="B143" s="2" t="s">
        <v>10</v>
      </c>
      <c r="C143" s="2" t="s">
        <v>18</v>
      </c>
      <c r="D143" s="2">
        <v>1274</v>
      </c>
      <c r="E143" s="2">
        <v>1938</v>
      </c>
      <c r="F143" s="2" t="s">
        <v>15</v>
      </c>
      <c r="G143" s="4" t="str">
        <f>IF('Expense Data'!E143&lt;='Expense Data'!D143,"On Budget","Over Budget")</f>
        <v>Over Budget</v>
      </c>
    </row>
    <row r="144" spans="1:7" x14ac:dyDescent="0.3">
      <c r="A144" s="3" t="s">
        <v>6</v>
      </c>
      <c r="B144" s="2" t="s">
        <v>25</v>
      </c>
      <c r="C144" s="2" t="s">
        <v>14</v>
      </c>
      <c r="D144" s="2">
        <v>5123</v>
      </c>
      <c r="E144" s="2">
        <v>7843</v>
      </c>
      <c r="F144" s="2" t="s">
        <v>12</v>
      </c>
      <c r="G144" s="4" t="str">
        <f>IF('Expense Data'!E144&lt;='Expense Data'!D144,"On Budget","Over Budget")</f>
        <v>Over Budget</v>
      </c>
    </row>
    <row r="145" spans="1:7" x14ac:dyDescent="0.3">
      <c r="A145" s="3" t="s">
        <v>13</v>
      </c>
      <c r="B145" s="2" t="s">
        <v>10</v>
      </c>
      <c r="C145" s="2" t="s">
        <v>14</v>
      </c>
      <c r="D145" s="2">
        <v>7064</v>
      </c>
      <c r="E145" s="2">
        <v>2139</v>
      </c>
      <c r="F145" s="2" t="s">
        <v>36</v>
      </c>
      <c r="G145" s="4" t="str">
        <f>IF('Expense Data'!E145&lt;='Expense Data'!D145,"On Budget","Over Budget")</f>
        <v>On Budget</v>
      </c>
    </row>
    <row r="146" spans="1:7" x14ac:dyDescent="0.3">
      <c r="A146" s="3" t="s">
        <v>22</v>
      </c>
      <c r="B146" s="2" t="s">
        <v>31</v>
      </c>
      <c r="C146" s="2" t="s">
        <v>20</v>
      </c>
      <c r="D146" s="2">
        <v>8321</v>
      </c>
      <c r="E146" s="2">
        <v>7191</v>
      </c>
      <c r="F146" s="2" t="s">
        <v>19</v>
      </c>
      <c r="G146" s="4" t="str">
        <f>IF('Expense Data'!E146&lt;='Expense Data'!D146,"On Budget","Over Budget")</f>
        <v>On Budget</v>
      </c>
    </row>
    <row r="147" spans="1:7" x14ac:dyDescent="0.3">
      <c r="A147" s="3" t="s">
        <v>27</v>
      </c>
      <c r="B147" s="2" t="s">
        <v>35</v>
      </c>
      <c r="C147" s="2" t="s">
        <v>14</v>
      </c>
      <c r="D147" s="2">
        <v>5624</v>
      </c>
      <c r="E147" s="2">
        <v>9652</v>
      </c>
      <c r="F147" s="2" t="s">
        <v>30</v>
      </c>
      <c r="G147" s="4" t="str">
        <f>IF('Expense Data'!E147&lt;='Expense Data'!D147,"On Budget","Over Budget")</f>
        <v>Over Budget</v>
      </c>
    </row>
    <row r="148" spans="1:7" x14ac:dyDescent="0.3">
      <c r="A148" s="3" t="s">
        <v>16</v>
      </c>
      <c r="B148" s="2" t="s">
        <v>28</v>
      </c>
      <c r="C148" s="2" t="s">
        <v>20</v>
      </c>
      <c r="D148" s="2">
        <v>3363</v>
      </c>
      <c r="E148" s="2">
        <v>7558</v>
      </c>
      <c r="F148" s="2" t="s">
        <v>36</v>
      </c>
      <c r="G148" s="4" t="str">
        <f>IF('Expense Data'!E148&lt;='Expense Data'!D148,"On Budget","Over Budget")</f>
        <v>Over Budget</v>
      </c>
    </row>
    <row r="149" spans="1:7" x14ac:dyDescent="0.3">
      <c r="A149" s="3" t="s">
        <v>27</v>
      </c>
      <c r="B149" s="2" t="s">
        <v>25</v>
      </c>
      <c r="C149" s="2" t="s">
        <v>18</v>
      </c>
      <c r="D149" s="2">
        <v>3860</v>
      </c>
      <c r="E149" s="2">
        <v>965</v>
      </c>
      <c r="F149" s="2" t="s">
        <v>19</v>
      </c>
      <c r="G149" s="4" t="str">
        <f>IF('Expense Data'!E149&lt;='Expense Data'!D149,"On Budget","Over Budget")</f>
        <v>On Budget</v>
      </c>
    </row>
    <row r="150" spans="1:7" x14ac:dyDescent="0.3">
      <c r="A150" s="3" t="s">
        <v>13</v>
      </c>
      <c r="B150" s="2" t="s">
        <v>7</v>
      </c>
      <c r="C150" s="2" t="s">
        <v>26</v>
      </c>
      <c r="D150" s="2">
        <v>6061</v>
      </c>
      <c r="E150" s="2">
        <v>3903</v>
      </c>
      <c r="F150" s="2" t="s">
        <v>36</v>
      </c>
      <c r="G150" s="4" t="str">
        <f>IF('Expense Data'!E150&lt;='Expense Data'!D150,"On Budget","Over Budget")</f>
        <v>On Budget</v>
      </c>
    </row>
    <row r="151" spans="1:7" x14ac:dyDescent="0.3">
      <c r="A151" s="3" t="s">
        <v>6</v>
      </c>
      <c r="B151" s="2" t="s">
        <v>31</v>
      </c>
      <c r="C151" s="2" t="s">
        <v>32</v>
      </c>
      <c r="D151" s="2">
        <v>8470</v>
      </c>
      <c r="E151" s="2">
        <v>5246</v>
      </c>
      <c r="F151" s="2" t="s">
        <v>36</v>
      </c>
      <c r="G151" s="4" t="str">
        <f>IF('Expense Data'!E151&lt;='Expense Data'!D151,"On Budget","Over Budget")</f>
        <v>On Budget</v>
      </c>
    </row>
    <row r="152" spans="1:7" x14ac:dyDescent="0.3">
      <c r="A152" s="3" t="s">
        <v>9</v>
      </c>
      <c r="B152" s="2" t="s">
        <v>35</v>
      </c>
      <c r="C152" s="2" t="s">
        <v>14</v>
      </c>
      <c r="D152" s="2">
        <v>6850</v>
      </c>
      <c r="E152" s="2">
        <v>5804</v>
      </c>
      <c r="F152" s="2" t="s">
        <v>30</v>
      </c>
      <c r="G152" s="4" t="str">
        <f>IF('Expense Data'!E152&lt;='Expense Data'!D152,"On Budget","Over Budget")</f>
        <v>On Budget</v>
      </c>
    </row>
    <row r="153" spans="1:7" x14ac:dyDescent="0.3">
      <c r="A153" s="3" t="s">
        <v>33</v>
      </c>
      <c r="B153" s="2" t="s">
        <v>23</v>
      </c>
      <c r="C153" s="2" t="s">
        <v>11</v>
      </c>
      <c r="D153" s="2">
        <v>6963</v>
      </c>
      <c r="E153" s="2">
        <v>7460</v>
      </c>
      <c r="F153" s="2" t="s">
        <v>19</v>
      </c>
      <c r="G153" s="4" t="str">
        <f>IF('Expense Data'!E153&lt;='Expense Data'!D153,"On Budget","Over Budget")</f>
        <v>Over Budget</v>
      </c>
    </row>
    <row r="154" spans="1:7" x14ac:dyDescent="0.3">
      <c r="A154" s="3" t="s">
        <v>13</v>
      </c>
      <c r="B154" s="2" t="s">
        <v>35</v>
      </c>
      <c r="C154" s="2" t="s">
        <v>8</v>
      </c>
      <c r="D154" s="2">
        <v>8235</v>
      </c>
      <c r="E154" s="2">
        <v>11316</v>
      </c>
      <c r="F154" s="2" t="s">
        <v>30</v>
      </c>
      <c r="G154" s="4" t="str">
        <f>IF('Expense Data'!E154&lt;='Expense Data'!D154,"On Budget","Over Budget")</f>
        <v>Over Budget</v>
      </c>
    </row>
    <row r="155" spans="1:7" x14ac:dyDescent="0.3">
      <c r="A155" s="3" t="s">
        <v>27</v>
      </c>
      <c r="B155" s="2" t="s">
        <v>35</v>
      </c>
      <c r="C155" s="2" t="s">
        <v>29</v>
      </c>
      <c r="D155" s="2">
        <v>4770</v>
      </c>
      <c r="E155" s="2">
        <v>5145</v>
      </c>
      <c r="F155" s="2" t="s">
        <v>15</v>
      </c>
      <c r="G155" s="4" t="str">
        <f>IF('Expense Data'!E155&lt;='Expense Data'!D155,"On Budget","Over Budget")</f>
        <v>Over Budget</v>
      </c>
    </row>
    <row r="156" spans="1:7" x14ac:dyDescent="0.3">
      <c r="A156" s="3" t="s">
        <v>9</v>
      </c>
      <c r="B156" s="2" t="s">
        <v>31</v>
      </c>
      <c r="C156" s="2" t="s">
        <v>11</v>
      </c>
      <c r="D156" s="2">
        <v>6281</v>
      </c>
      <c r="E156" s="2">
        <v>2852</v>
      </c>
      <c r="F156" s="2" t="s">
        <v>19</v>
      </c>
      <c r="G156" s="4" t="str">
        <f>IF('Expense Data'!E156&lt;='Expense Data'!D156,"On Budget","Over Budget")</f>
        <v>On Budget</v>
      </c>
    </row>
    <row r="157" spans="1:7" x14ac:dyDescent="0.3">
      <c r="A157" s="3" t="s">
        <v>33</v>
      </c>
      <c r="B157" s="2" t="s">
        <v>31</v>
      </c>
      <c r="C157" s="2" t="s">
        <v>24</v>
      </c>
      <c r="D157" s="2">
        <v>6818</v>
      </c>
      <c r="E157" s="2">
        <v>4819</v>
      </c>
      <c r="F157" s="2" t="s">
        <v>36</v>
      </c>
      <c r="G157" s="4" t="str">
        <f>IF('Expense Data'!E157&lt;='Expense Data'!D157,"On Budget","Over Budget")</f>
        <v>On Budget</v>
      </c>
    </row>
    <row r="158" spans="1:7" x14ac:dyDescent="0.3">
      <c r="A158" s="3" t="s">
        <v>9</v>
      </c>
      <c r="B158" s="2" t="s">
        <v>25</v>
      </c>
      <c r="C158" s="2" t="s">
        <v>32</v>
      </c>
      <c r="D158" s="2">
        <v>7068</v>
      </c>
      <c r="E158" s="2">
        <v>10517</v>
      </c>
      <c r="F158" s="2" t="s">
        <v>30</v>
      </c>
      <c r="G158" s="4" t="str">
        <f>IF('Expense Data'!E158&lt;='Expense Data'!D158,"On Budget","Over Budget")</f>
        <v>Over Budget</v>
      </c>
    </row>
    <row r="159" spans="1:7" x14ac:dyDescent="0.3">
      <c r="A159" s="3" t="s">
        <v>13</v>
      </c>
      <c r="B159" s="2" t="s">
        <v>28</v>
      </c>
      <c r="C159" s="2" t="s">
        <v>17</v>
      </c>
      <c r="D159" s="2">
        <v>8822</v>
      </c>
      <c r="E159" s="2">
        <v>8070</v>
      </c>
      <c r="F159" s="2" t="s">
        <v>15</v>
      </c>
      <c r="G159" s="4" t="str">
        <f>IF('Expense Data'!E159&lt;='Expense Data'!D159,"On Budget","Over Budget")</f>
        <v>On Budget</v>
      </c>
    </row>
    <row r="160" spans="1:7" x14ac:dyDescent="0.3">
      <c r="A160" s="3" t="s">
        <v>6</v>
      </c>
      <c r="B160" s="2" t="s">
        <v>23</v>
      </c>
      <c r="C160" s="2" t="s">
        <v>34</v>
      </c>
      <c r="D160" s="2">
        <v>3336</v>
      </c>
      <c r="E160" s="2">
        <v>6550</v>
      </c>
      <c r="F160" s="2" t="s">
        <v>36</v>
      </c>
      <c r="G160" s="4" t="str">
        <f>IF('Expense Data'!E160&lt;='Expense Data'!D160,"On Budget","Over Budget")</f>
        <v>Over Budget</v>
      </c>
    </row>
    <row r="161" spans="1:7" x14ac:dyDescent="0.3">
      <c r="A161" s="3" t="s">
        <v>9</v>
      </c>
      <c r="B161" s="2" t="s">
        <v>23</v>
      </c>
      <c r="C161" s="2" t="s">
        <v>17</v>
      </c>
      <c r="D161" s="2">
        <v>3291</v>
      </c>
      <c r="E161" s="2">
        <v>9771</v>
      </c>
      <c r="F161" s="2" t="s">
        <v>12</v>
      </c>
      <c r="G161" s="4" t="str">
        <f>IF('Expense Data'!E161&lt;='Expense Data'!D161,"On Budget","Over Budget")</f>
        <v>Over Budget</v>
      </c>
    </row>
    <row r="162" spans="1:7" x14ac:dyDescent="0.3">
      <c r="A162" s="3" t="s">
        <v>22</v>
      </c>
      <c r="B162" s="2" t="s">
        <v>28</v>
      </c>
      <c r="C162" s="2" t="s">
        <v>21</v>
      </c>
      <c r="D162" s="2">
        <v>9356</v>
      </c>
      <c r="E162" s="2">
        <v>11851</v>
      </c>
      <c r="F162" s="2" t="s">
        <v>19</v>
      </c>
      <c r="G162" s="4" t="str">
        <f>IF('Expense Data'!E162&lt;='Expense Data'!D162,"On Budget","Over Budget")</f>
        <v>Over Budget</v>
      </c>
    </row>
    <row r="163" spans="1:7" x14ac:dyDescent="0.3">
      <c r="A163" s="3" t="s">
        <v>6</v>
      </c>
      <c r="B163" s="2" t="s">
        <v>31</v>
      </c>
      <c r="C163" s="2" t="s">
        <v>32</v>
      </c>
      <c r="D163" s="2">
        <v>4391</v>
      </c>
      <c r="E163" s="2">
        <v>3112</v>
      </c>
      <c r="F163" s="2" t="s">
        <v>12</v>
      </c>
      <c r="G163" s="4" t="str">
        <f>IF('Expense Data'!E163&lt;='Expense Data'!D163,"On Budget","Over Budget")</f>
        <v>On Budget</v>
      </c>
    </row>
    <row r="164" spans="1:7" x14ac:dyDescent="0.3">
      <c r="A164" s="3" t="s">
        <v>13</v>
      </c>
      <c r="B164" s="2" t="s">
        <v>31</v>
      </c>
      <c r="C164" s="2" t="s">
        <v>8</v>
      </c>
      <c r="D164" s="2">
        <v>1408</v>
      </c>
      <c r="E164" s="2">
        <v>5018</v>
      </c>
      <c r="F164" s="2" t="s">
        <v>15</v>
      </c>
      <c r="G164" s="4" t="str">
        <f>IF('Expense Data'!E164&lt;='Expense Data'!D164,"On Budget","Over Budget")</f>
        <v>Over Budget</v>
      </c>
    </row>
    <row r="165" spans="1:7" x14ac:dyDescent="0.3">
      <c r="A165" s="3" t="s">
        <v>33</v>
      </c>
      <c r="B165" s="2" t="s">
        <v>10</v>
      </c>
      <c r="C165" s="2" t="s">
        <v>34</v>
      </c>
      <c r="D165" s="2">
        <v>7553</v>
      </c>
      <c r="E165" s="2">
        <v>4643</v>
      </c>
      <c r="F165" s="2" t="s">
        <v>15</v>
      </c>
      <c r="G165" s="4" t="str">
        <f>IF('Expense Data'!E165&lt;='Expense Data'!D165,"On Budget","Over Budget")</f>
        <v>On Budget</v>
      </c>
    </row>
    <row r="166" spans="1:7" x14ac:dyDescent="0.3">
      <c r="A166" s="3" t="s">
        <v>9</v>
      </c>
      <c r="B166" s="2" t="s">
        <v>25</v>
      </c>
      <c r="C166" s="2" t="s">
        <v>18</v>
      </c>
      <c r="D166" s="2">
        <v>4348</v>
      </c>
      <c r="E166" s="2">
        <v>1086</v>
      </c>
      <c r="F166" s="2" t="s">
        <v>36</v>
      </c>
      <c r="G166" s="4" t="str">
        <f>IF('Expense Data'!E166&lt;='Expense Data'!D166,"On Budget","Over Budget")</f>
        <v>On Budget</v>
      </c>
    </row>
    <row r="167" spans="1:7" x14ac:dyDescent="0.3">
      <c r="A167" s="3" t="s">
        <v>33</v>
      </c>
      <c r="B167" s="2" t="s">
        <v>28</v>
      </c>
      <c r="C167" s="2" t="s">
        <v>8</v>
      </c>
      <c r="D167" s="2">
        <v>3548</v>
      </c>
      <c r="E167" s="2">
        <v>3142</v>
      </c>
      <c r="F167" s="2" t="s">
        <v>15</v>
      </c>
      <c r="G167" s="4" t="str">
        <f>IF('Expense Data'!E167&lt;='Expense Data'!D167,"On Budget","Over Budget")</f>
        <v>On Budget</v>
      </c>
    </row>
    <row r="168" spans="1:7" x14ac:dyDescent="0.3">
      <c r="A168" s="3" t="s">
        <v>6</v>
      </c>
      <c r="B168" s="2" t="s">
        <v>31</v>
      </c>
      <c r="C168" s="2" t="s">
        <v>24</v>
      </c>
      <c r="D168" s="2">
        <v>8189</v>
      </c>
      <c r="E168" s="2">
        <v>8919</v>
      </c>
      <c r="F168" s="2" t="s">
        <v>12</v>
      </c>
      <c r="G168" s="4" t="str">
        <f>IF('Expense Data'!E168&lt;='Expense Data'!D168,"On Budget","Over Budget")</f>
        <v>Over Budget</v>
      </c>
    </row>
    <row r="169" spans="1:7" x14ac:dyDescent="0.3">
      <c r="A169" s="3" t="s">
        <v>16</v>
      </c>
      <c r="B169" s="2" t="s">
        <v>23</v>
      </c>
      <c r="C169" s="2" t="s">
        <v>14</v>
      </c>
      <c r="D169" s="2">
        <v>3517</v>
      </c>
      <c r="E169" s="2">
        <v>8970</v>
      </c>
      <c r="F169" s="2" t="s">
        <v>36</v>
      </c>
      <c r="G169" s="4" t="str">
        <f>IF('Expense Data'!E169&lt;='Expense Data'!D169,"On Budget","Over Budget")</f>
        <v>Over Budget</v>
      </c>
    </row>
    <row r="170" spans="1:7" x14ac:dyDescent="0.3">
      <c r="A170" s="3" t="s">
        <v>6</v>
      </c>
      <c r="B170" s="2" t="s">
        <v>31</v>
      </c>
      <c r="C170" s="2" t="s">
        <v>8</v>
      </c>
      <c r="D170" s="2">
        <v>9821</v>
      </c>
      <c r="E170" s="2">
        <v>7026</v>
      </c>
      <c r="F170" s="2" t="s">
        <v>36</v>
      </c>
      <c r="G170" s="4" t="str">
        <f>IF('Expense Data'!E170&lt;='Expense Data'!D170,"On Budget","Over Budget")</f>
        <v>On Budget</v>
      </c>
    </row>
    <row r="171" spans="1:7" x14ac:dyDescent="0.3">
      <c r="A171" s="3" t="s">
        <v>9</v>
      </c>
      <c r="B171" s="2" t="s">
        <v>28</v>
      </c>
      <c r="C171" s="2" t="s">
        <v>11</v>
      </c>
      <c r="D171" s="2">
        <v>5878</v>
      </c>
      <c r="E171" s="2">
        <v>4594</v>
      </c>
      <c r="F171" s="2" t="s">
        <v>30</v>
      </c>
      <c r="G171" s="4" t="str">
        <f>IF('Expense Data'!E171&lt;='Expense Data'!D171,"On Budget","Over Budget")</f>
        <v>On Budget</v>
      </c>
    </row>
    <row r="172" spans="1:7" x14ac:dyDescent="0.3">
      <c r="A172" s="3" t="s">
        <v>16</v>
      </c>
      <c r="B172" s="2" t="s">
        <v>7</v>
      </c>
      <c r="C172" s="2" t="s">
        <v>8</v>
      </c>
      <c r="D172" s="2">
        <v>9986</v>
      </c>
      <c r="E172" s="2">
        <v>6304</v>
      </c>
      <c r="F172" s="2" t="s">
        <v>36</v>
      </c>
      <c r="G172" s="4" t="str">
        <f>IF('Expense Data'!E172&lt;='Expense Data'!D172,"On Budget","Over Budget")</f>
        <v>On Budget</v>
      </c>
    </row>
    <row r="173" spans="1:7" x14ac:dyDescent="0.3">
      <c r="A173" s="3" t="s">
        <v>13</v>
      </c>
      <c r="B173" s="2" t="s">
        <v>35</v>
      </c>
      <c r="C173" s="2" t="s">
        <v>14</v>
      </c>
      <c r="D173" s="2">
        <v>1973</v>
      </c>
      <c r="E173" s="2">
        <v>6463</v>
      </c>
      <c r="F173" s="2" t="s">
        <v>30</v>
      </c>
      <c r="G173" s="4" t="str">
        <f>IF('Expense Data'!E173&lt;='Expense Data'!D173,"On Budget","Over Budget")</f>
        <v>Over Budget</v>
      </c>
    </row>
    <row r="174" spans="1:7" x14ac:dyDescent="0.3">
      <c r="A174" s="3" t="s">
        <v>22</v>
      </c>
      <c r="B174" s="2" t="s">
        <v>7</v>
      </c>
      <c r="C174" s="2" t="s">
        <v>24</v>
      </c>
      <c r="D174" s="2">
        <v>5981</v>
      </c>
      <c r="E174" s="2">
        <v>10207</v>
      </c>
      <c r="F174" s="2" t="s">
        <v>30</v>
      </c>
      <c r="G174" s="4" t="str">
        <f>IF('Expense Data'!E174&lt;='Expense Data'!D174,"On Budget","Over Budget")</f>
        <v>Over Budget</v>
      </c>
    </row>
    <row r="175" spans="1:7" x14ac:dyDescent="0.3">
      <c r="A175" s="3" t="s">
        <v>9</v>
      </c>
      <c r="B175" s="2" t="s">
        <v>31</v>
      </c>
      <c r="C175" s="2" t="s">
        <v>20</v>
      </c>
      <c r="D175" s="2">
        <v>9540</v>
      </c>
      <c r="E175" s="2">
        <v>1153</v>
      </c>
      <c r="F175" s="2" t="s">
        <v>36</v>
      </c>
      <c r="G175" s="4" t="str">
        <f>IF('Expense Data'!E175&lt;='Expense Data'!D175,"On Budget","Over Budget")</f>
        <v>On Budget</v>
      </c>
    </row>
    <row r="176" spans="1:7" x14ac:dyDescent="0.3">
      <c r="A176" s="3" t="s">
        <v>33</v>
      </c>
      <c r="B176" s="2" t="s">
        <v>35</v>
      </c>
      <c r="C176" s="2" t="s">
        <v>17</v>
      </c>
      <c r="D176" s="2">
        <v>6631</v>
      </c>
      <c r="E176" s="2">
        <v>5193</v>
      </c>
      <c r="F176" s="2" t="s">
        <v>12</v>
      </c>
      <c r="G176" s="4" t="str">
        <f>IF('Expense Data'!E176&lt;='Expense Data'!D176,"On Budget","Over Budget")</f>
        <v>On Budget</v>
      </c>
    </row>
    <row r="177" spans="1:7" x14ac:dyDescent="0.3">
      <c r="A177" s="3" t="s">
        <v>33</v>
      </c>
      <c r="B177" s="2" t="s">
        <v>10</v>
      </c>
      <c r="C177" s="2" t="s">
        <v>21</v>
      </c>
      <c r="D177" s="2">
        <v>3737</v>
      </c>
      <c r="E177" s="2">
        <v>814</v>
      </c>
      <c r="F177" s="2" t="s">
        <v>19</v>
      </c>
      <c r="G177" s="4" t="str">
        <f>IF('Expense Data'!E177&lt;='Expense Data'!D177,"On Budget","Over Budget")</f>
        <v>On Budget</v>
      </c>
    </row>
    <row r="178" spans="1:7" x14ac:dyDescent="0.3">
      <c r="A178" s="3" t="s">
        <v>13</v>
      </c>
      <c r="B178" s="2" t="s">
        <v>10</v>
      </c>
      <c r="C178" s="2" t="s">
        <v>21</v>
      </c>
      <c r="D178" s="2">
        <v>4941</v>
      </c>
      <c r="E178" s="2">
        <v>7764</v>
      </c>
      <c r="F178" s="2" t="s">
        <v>19</v>
      </c>
      <c r="G178" s="4" t="str">
        <f>IF('Expense Data'!E178&lt;='Expense Data'!D178,"On Budget","Over Budget")</f>
        <v>Over Budget</v>
      </c>
    </row>
    <row r="179" spans="1:7" x14ac:dyDescent="0.3">
      <c r="A179" s="3" t="s">
        <v>16</v>
      </c>
      <c r="B179" s="2" t="s">
        <v>10</v>
      </c>
      <c r="C179" s="2" t="s">
        <v>8</v>
      </c>
      <c r="D179" s="2">
        <v>7569</v>
      </c>
      <c r="E179" s="2">
        <v>6793</v>
      </c>
      <c r="F179" s="2" t="s">
        <v>12</v>
      </c>
      <c r="G179" s="4" t="str">
        <f>IF('Expense Data'!E179&lt;='Expense Data'!D179,"On Budget","Over Budget")</f>
        <v>On Budget</v>
      </c>
    </row>
    <row r="180" spans="1:7" x14ac:dyDescent="0.3">
      <c r="A180" s="3" t="s">
        <v>6</v>
      </c>
      <c r="B180" s="2" t="s">
        <v>35</v>
      </c>
      <c r="C180" s="2" t="s">
        <v>14</v>
      </c>
      <c r="D180" s="2">
        <v>8282</v>
      </c>
      <c r="E180" s="2">
        <v>6572</v>
      </c>
      <c r="F180" s="2" t="s">
        <v>19</v>
      </c>
      <c r="G180" s="4" t="str">
        <f>IF('Expense Data'!E180&lt;='Expense Data'!D180,"On Budget","Over Budget")</f>
        <v>On Budget</v>
      </c>
    </row>
    <row r="181" spans="1:7" x14ac:dyDescent="0.3">
      <c r="A181" s="3" t="s">
        <v>22</v>
      </c>
      <c r="B181" s="2" t="s">
        <v>23</v>
      </c>
      <c r="C181" s="2" t="s">
        <v>11</v>
      </c>
      <c r="D181" s="2">
        <v>5707</v>
      </c>
      <c r="E181" s="2">
        <v>1247</v>
      </c>
      <c r="F181" s="2" t="s">
        <v>15</v>
      </c>
      <c r="G181" s="4" t="str">
        <f>IF('Expense Data'!E181&lt;='Expense Data'!D181,"On Budget","Over Budget")</f>
        <v>On Budget</v>
      </c>
    </row>
    <row r="182" spans="1:7" x14ac:dyDescent="0.3">
      <c r="A182" s="3" t="s">
        <v>16</v>
      </c>
      <c r="B182" s="2" t="s">
        <v>28</v>
      </c>
      <c r="C182" s="2" t="s">
        <v>14</v>
      </c>
      <c r="D182" s="2">
        <v>9793</v>
      </c>
      <c r="E182" s="2">
        <v>11068</v>
      </c>
      <c r="F182" s="2" t="s">
        <v>19</v>
      </c>
      <c r="G182" s="4" t="str">
        <f>IF('Expense Data'!E182&lt;='Expense Data'!D182,"On Budget","Over Budget")</f>
        <v>Over Budget</v>
      </c>
    </row>
    <row r="183" spans="1:7" x14ac:dyDescent="0.3">
      <c r="A183" s="3" t="s">
        <v>9</v>
      </c>
      <c r="B183" s="2" t="s">
        <v>25</v>
      </c>
      <c r="C183" s="2" t="s">
        <v>11</v>
      </c>
      <c r="D183" s="2">
        <v>5682</v>
      </c>
      <c r="E183" s="2">
        <v>5406</v>
      </c>
      <c r="F183" s="2" t="s">
        <v>15</v>
      </c>
      <c r="G183" s="4" t="str">
        <f>IF('Expense Data'!E183&lt;='Expense Data'!D183,"On Budget","Over Budget")</f>
        <v>On Budget</v>
      </c>
    </row>
    <row r="184" spans="1:7" x14ac:dyDescent="0.3">
      <c r="A184" s="3" t="s">
        <v>6</v>
      </c>
      <c r="B184" s="2" t="s">
        <v>28</v>
      </c>
      <c r="C184" s="2" t="s">
        <v>26</v>
      </c>
      <c r="D184" s="2">
        <v>6208</v>
      </c>
      <c r="E184" s="2">
        <v>8384</v>
      </c>
      <c r="F184" s="2" t="s">
        <v>15</v>
      </c>
      <c r="G184" s="4" t="str">
        <f>IF('Expense Data'!E184&lt;='Expense Data'!D184,"On Budget","Over Budget")</f>
        <v>Over Budget</v>
      </c>
    </row>
    <row r="185" spans="1:7" x14ac:dyDescent="0.3">
      <c r="A185" s="3" t="s">
        <v>6</v>
      </c>
      <c r="B185" s="2" t="s">
        <v>25</v>
      </c>
      <c r="C185" s="2" t="s">
        <v>20</v>
      </c>
      <c r="D185" s="2">
        <v>2120</v>
      </c>
      <c r="E185" s="2">
        <v>3045</v>
      </c>
      <c r="F185" s="2" t="s">
        <v>15</v>
      </c>
      <c r="G185" s="4" t="str">
        <f>IF('Expense Data'!E185&lt;='Expense Data'!D185,"On Budget","Over Budget")</f>
        <v>Over Budget</v>
      </c>
    </row>
    <row r="186" spans="1:7" x14ac:dyDescent="0.3">
      <c r="A186" s="3" t="s">
        <v>33</v>
      </c>
      <c r="B186" s="2" t="s">
        <v>28</v>
      </c>
      <c r="C186" s="2" t="s">
        <v>11</v>
      </c>
      <c r="D186" s="2">
        <v>6061</v>
      </c>
      <c r="E186" s="2">
        <v>11421</v>
      </c>
      <c r="F186" s="2" t="s">
        <v>36</v>
      </c>
      <c r="G186" s="4" t="str">
        <f>IF('Expense Data'!E186&lt;='Expense Data'!D186,"On Budget","Over Budget")</f>
        <v>Over Budget</v>
      </c>
    </row>
    <row r="187" spans="1:7" x14ac:dyDescent="0.3">
      <c r="A187" s="3" t="s">
        <v>6</v>
      </c>
      <c r="B187" s="2" t="s">
        <v>23</v>
      </c>
      <c r="C187" s="2" t="s">
        <v>29</v>
      </c>
      <c r="D187" s="2">
        <v>7404</v>
      </c>
      <c r="E187" s="2">
        <v>7108</v>
      </c>
      <c r="F187" s="2" t="s">
        <v>19</v>
      </c>
      <c r="G187" s="4" t="str">
        <f>IF('Expense Data'!E187&lt;='Expense Data'!D187,"On Budget","Over Budget")</f>
        <v>On Budget</v>
      </c>
    </row>
    <row r="188" spans="1:7" x14ac:dyDescent="0.3">
      <c r="A188" s="3" t="s">
        <v>33</v>
      </c>
      <c r="B188" s="2" t="s">
        <v>35</v>
      </c>
      <c r="C188" s="2" t="s">
        <v>26</v>
      </c>
      <c r="D188" s="2">
        <v>8616</v>
      </c>
      <c r="E188" s="2">
        <v>3212</v>
      </c>
      <c r="F188" s="2" t="s">
        <v>15</v>
      </c>
      <c r="G188" s="4" t="str">
        <f>IF('Expense Data'!E188&lt;='Expense Data'!D188,"On Budget","Over Budget")</f>
        <v>On Budget</v>
      </c>
    </row>
    <row r="189" spans="1:7" x14ac:dyDescent="0.3">
      <c r="A189" s="3" t="s">
        <v>27</v>
      </c>
      <c r="B189" s="2" t="s">
        <v>23</v>
      </c>
      <c r="C189" s="2" t="s">
        <v>34</v>
      </c>
      <c r="D189" s="2">
        <v>7610</v>
      </c>
      <c r="E189" s="2">
        <v>7804</v>
      </c>
      <c r="F189" s="2" t="s">
        <v>30</v>
      </c>
      <c r="G189" s="4" t="str">
        <f>IF('Expense Data'!E189&lt;='Expense Data'!D189,"On Budget","Over Budget")</f>
        <v>Over Budget</v>
      </c>
    </row>
    <row r="190" spans="1:7" x14ac:dyDescent="0.3">
      <c r="A190" s="3" t="s">
        <v>9</v>
      </c>
      <c r="B190" s="2" t="s">
        <v>31</v>
      </c>
      <c r="C190" s="2" t="s">
        <v>26</v>
      </c>
      <c r="D190" s="2">
        <v>8538</v>
      </c>
      <c r="E190" s="2">
        <v>9089</v>
      </c>
      <c r="F190" s="2" t="s">
        <v>19</v>
      </c>
      <c r="G190" s="4" t="str">
        <f>IF('Expense Data'!E190&lt;='Expense Data'!D190,"On Budget","Over Budget")</f>
        <v>Over Budget</v>
      </c>
    </row>
    <row r="191" spans="1:7" x14ac:dyDescent="0.3">
      <c r="A191" s="3" t="s">
        <v>13</v>
      </c>
      <c r="B191" s="2" t="s">
        <v>10</v>
      </c>
      <c r="C191" s="2" t="s">
        <v>11</v>
      </c>
      <c r="D191" s="2">
        <v>2560</v>
      </c>
      <c r="E191" s="2">
        <v>3967</v>
      </c>
      <c r="F191" s="2" t="s">
        <v>15</v>
      </c>
      <c r="G191" s="4" t="str">
        <f>IF('Expense Data'!E191&lt;='Expense Data'!D191,"On Budget","Over Budget")</f>
        <v>Over Budget</v>
      </c>
    </row>
    <row r="192" spans="1:7" x14ac:dyDescent="0.3">
      <c r="A192" s="3" t="s">
        <v>16</v>
      </c>
      <c r="B192" s="2" t="s">
        <v>35</v>
      </c>
      <c r="C192" s="2" t="s">
        <v>26</v>
      </c>
      <c r="D192" s="2">
        <v>1505</v>
      </c>
      <c r="E192" s="2">
        <v>3747</v>
      </c>
      <c r="F192" s="2" t="s">
        <v>12</v>
      </c>
      <c r="G192" s="4" t="str">
        <f>IF('Expense Data'!E192&lt;='Expense Data'!D192,"On Budget","Over Budget")</f>
        <v>Over Budget</v>
      </c>
    </row>
    <row r="193" spans="1:7" x14ac:dyDescent="0.3">
      <c r="A193" s="3" t="s">
        <v>16</v>
      </c>
      <c r="B193" s="2" t="s">
        <v>31</v>
      </c>
      <c r="C193" s="2" t="s">
        <v>18</v>
      </c>
      <c r="D193" s="2">
        <v>8673</v>
      </c>
      <c r="E193" s="2">
        <v>7189</v>
      </c>
      <c r="F193" s="2" t="s">
        <v>15</v>
      </c>
      <c r="G193" s="4" t="str">
        <f>IF('Expense Data'!E193&lt;='Expense Data'!D193,"On Budget","Over Budget")</f>
        <v>On Budget</v>
      </c>
    </row>
    <row r="194" spans="1:7" x14ac:dyDescent="0.3">
      <c r="A194" s="3" t="s">
        <v>27</v>
      </c>
      <c r="B194" s="2" t="s">
        <v>23</v>
      </c>
      <c r="C194" s="2" t="s">
        <v>20</v>
      </c>
      <c r="D194" s="2">
        <v>6222</v>
      </c>
      <c r="E194" s="2">
        <v>4080</v>
      </c>
      <c r="F194" s="2" t="s">
        <v>12</v>
      </c>
      <c r="G194" s="4" t="str">
        <f>IF('Expense Data'!E194&lt;='Expense Data'!D194,"On Budget","Over Budget")</f>
        <v>On Budget</v>
      </c>
    </row>
    <row r="195" spans="1:7" x14ac:dyDescent="0.3">
      <c r="A195" s="3" t="s">
        <v>6</v>
      </c>
      <c r="B195" s="2" t="s">
        <v>23</v>
      </c>
      <c r="C195" s="2" t="s">
        <v>11</v>
      </c>
      <c r="D195" s="2">
        <v>4392</v>
      </c>
      <c r="E195" s="2">
        <v>7311</v>
      </c>
      <c r="F195" s="2" t="s">
        <v>36</v>
      </c>
      <c r="G195" s="4" t="str">
        <f>IF('Expense Data'!E195&lt;='Expense Data'!D195,"On Budget","Over Budget")</f>
        <v>Over Budget</v>
      </c>
    </row>
    <row r="196" spans="1:7" x14ac:dyDescent="0.3">
      <c r="A196" s="3" t="s">
        <v>22</v>
      </c>
      <c r="B196" s="2" t="s">
        <v>7</v>
      </c>
      <c r="C196" s="2" t="s">
        <v>11</v>
      </c>
      <c r="D196" s="2">
        <v>9217</v>
      </c>
      <c r="E196" s="2">
        <v>7989</v>
      </c>
      <c r="F196" s="2" t="s">
        <v>12</v>
      </c>
      <c r="G196" s="4" t="str">
        <f>IF('Expense Data'!E196&lt;='Expense Data'!D196,"On Budget","Over Budget")</f>
        <v>On Budget</v>
      </c>
    </row>
    <row r="197" spans="1:7" x14ac:dyDescent="0.3">
      <c r="A197" s="3" t="s">
        <v>33</v>
      </c>
      <c r="B197" s="2" t="s">
        <v>31</v>
      </c>
      <c r="C197" s="2" t="s">
        <v>11</v>
      </c>
      <c r="D197" s="2">
        <v>5890</v>
      </c>
      <c r="E197" s="2">
        <v>9929</v>
      </c>
      <c r="F197" s="2" t="s">
        <v>19</v>
      </c>
      <c r="G197" s="4" t="str">
        <f>IF('Expense Data'!E197&lt;='Expense Data'!D197,"On Budget","Over Budget")</f>
        <v>Over Budget</v>
      </c>
    </row>
    <row r="198" spans="1:7" x14ac:dyDescent="0.3">
      <c r="A198" s="3" t="s">
        <v>16</v>
      </c>
      <c r="B198" s="2" t="s">
        <v>7</v>
      </c>
      <c r="C198" s="2" t="s">
        <v>34</v>
      </c>
      <c r="D198" s="2">
        <v>5854</v>
      </c>
      <c r="E198" s="2">
        <v>8953</v>
      </c>
      <c r="F198" s="2" t="s">
        <v>36</v>
      </c>
      <c r="G198" s="4" t="str">
        <f>IF('Expense Data'!E198&lt;='Expense Data'!D198,"On Budget","Over Budget")</f>
        <v>Over Budget</v>
      </c>
    </row>
    <row r="199" spans="1:7" x14ac:dyDescent="0.3">
      <c r="A199" s="3" t="s">
        <v>33</v>
      </c>
      <c r="B199" s="2" t="s">
        <v>10</v>
      </c>
      <c r="C199" s="2" t="s">
        <v>17</v>
      </c>
      <c r="D199" s="2">
        <v>8987</v>
      </c>
      <c r="E199" s="2">
        <v>9571</v>
      </c>
      <c r="F199" s="2" t="s">
        <v>36</v>
      </c>
      <c r="G199" s="4" t="str">
        <f>IF('Expense Data'!E199&lt;='Expense Data'!D199,"On Budget","Over Budget")</f>
        <v>Over Budget</v>
      </c>
    </row>
    <row r="200" spans="1:7" x14ac:dyDescent="0.3">
      <c r="A200" s="3" t="s">
        <v>22</v>
      </c>
      <c r="B200" s="2" t="s">
        <v>25</v>
      </c>
      <c r="C200" s="2" t="s">
        <v>20</v>
      </c>
      <c r="D200" s="2">
        <v>5671</v>
      </c>
      <c r="E200" s="2">
        <v>4006</v>
      </c>
      <c r="F200" s="2" t="s">
        <v>19</v>
      </c>
      <c r="G200" s="4" t="str">
        <f>IF('Expense Data'!E200&lt;='Expense Data'!D200,"On Budget","Over Budget")</f>
        <v>On Budget</v>
      </c>
    </row>
    <row r="201" spans="1:7" x14ac:dyDescent="0.3">
      <c r="A201" s="3" t="s">
        <v>33</v>
      </c>
      <c r="B201" s="2" t="s">
        <v>7</v>
      </c>
      <c r="C201" s="2" t="s">
        <v>14</v>
      </c>
      <c r="D201" s="2">
        <v>7645</v>
      </c>
      <c r="E201" s="2">
        <v>8793</v>
      </c>
      <c r="F201" s="2" t="s">
        <v>19</v>
      </c>
      <c r="G201" s="4" t="str">
        <f>IF('Expense Data'!E201&lt;='Expense Data'!D201,"On Budget","Over Budget")</f>
        <v>Over Budget</v>
      </c>
    </row>
    <row r="202" spans="1:7" x14ac:dyDescent="0.3">
      <c r="A202" s="3" t="s">
        <v>9</v>
      </c>
      <c r="B202" s="2" t="s">
        <v>25</v>
      </c>
      <c r="C202" s="2" t="s">
        <v>14</v>
      </c>
      <c r="D202" s="2">
        <v>4069</v>
      </c>
      <c r="E202" s="2">
        <v>6768</v>
      </c>
      <c r="F202" s="2" t="s">
        <v>15</v>
      </c>
      <c r="G202" s="4" t="str">
        <f>IF('Expense Data'!E202&lt;='Expense Data'!D202,"On Budget","Over Budget")</f>
        <v>Over Budget</v>
      </c>
    </row>
    <row r="203" spans="1:7" x14ac:dyDescent="0.3">
      <c r="A203" s="3" t="s">
        <v>33</v>
      </c>
      <c r="B203" s="2" t="s">
        <v>23</v>
      </c>
      <c r="C203" s="2" t="s">
        <v>17</v>
      </c>
      <c r="D203" s="2">
        <v>9969</v>
      </c>
      <c r="E203" s="2">
        <v>4144</v>
      </c>
      <c r="F203" s="2" t="s">
        <v>15</v>
      </c>
      <c r="G203" s="4" t="str">
        <f>IF('Expense Data'!E203&lt;='Expense Data'!D203,"On Budget","Over Budget")</f>
        <v>On Budget</v>
      </c>
    </row>
    <row r="204" spans="1:7" x14ac:dyDescent="0.3">
      <c r="A204" s="3" t="s">
        <v>22</v>
      </c>
      <c r="B204" s="2" t="s">
        <v>25</v>
      </c>
      <c r="C204" s="2" t="s">
        <v>29</v>
      </c>
      <c r="D204" s="2">
        <v>8571</v>
      </c>
      <c r="E204" s="2">
        <v>4484</v>
      </c>
      <c r="F204" s="2" t="s">
        <v>30</v>
      </c>
      <c r="G204" s="4" t="str">
        <f>IF('Expense Data'!E204&lt;='Expense Data'!D204,"On Budget","Over Budget")</f>
        <v>On Budget</v>
      </c>
    </row>
    <row r="205" spans="1:7" x14ac:dyDescent="0.3">
      <c r="A205" s="3" t="s">
        <v>6</v>
      </c>
      <c r="B205" s="2" t="s">
        <v>25</v>
      </c>
      <c r="C205" s="2" t="s">
        <v>14</v>
      </c>
      <c r="D205" s="2">
        <v>2317</v>
      </c>
      <c r="E205" s="2">
        <v>3315</v>
      </c>
      <c r="F205" s="2" t="s">
        <v>12</v>
      </c>
      <c r="G205" s="4" t="str">
        <f>IF('Expense Data'!E205&lt;='Expense Data'!D205,"On Budget","Over Budget")</f>
        <v>Over Budget</v>
      </c>
    </row>
    <row r="206" spans="1:7" x14ac:dyDescent="0.3">
      <c r="A206" s="3" t="s">
        <v>16</v>
      </c>
      <c r="B206" s="2" t="s">
        <v>23</v>
      </c>
      <c r="C206" s="2" t="s">
        <v>34</v>
      </c>
      <c r="D206" s="2">
        <v>6392</v>
      </c>
      <c r="E206" s="2">
        <v>4497</v>
      </c>
      <c r="F206" s="2" t="s">
        <v>30</v>
      </c>
      <c r="G206" s="4" t="str">
        <f>IF('Expense Data'!E206&lt;='Expense Data'!D206,"On Budget","Over Budget")</f>
        <v>On Budget</v>
      </c>
    </row>
    <row r="207" spans="1:7" x14ac:dyDescent="0.3">
      <c r="A207" s="3" t="s">
        <v>13</v>
      </c>
      <c r="B207" s="2" t="s">
        <v>7</v>
      </c>
      <c r="C207" s="2" t="s">
        <v>14</v>
      </c>
      <c r="D207" s="2">
        <v>4259</v>
      </c>
      <c r="E207" s="2">
        <v>7720</v>
      </c>
      <c r="F207" s="2" t="s">
        <v>12</v>
      </c>
      <c r="G207" s="4" t="str">
        <f>IF('Expense Data'!E207&lt;='Expense Data'!D207,"On Budget","Over Budget")</f>
        <v>Over Budget</v>
      </c>
    </row>
    <row r="208" spans="1:7" x14ac:dyDescent="0.3">
      <c r="A208" s="3" t="s">
        <v>33</v>
      </c>
      <c r="B208" s="2" t="s">
        <v>25</v>
      </c>
      <c r="C208" s="2" t="s">
        <v>17</v>
      </c>
      <c r="D208" s="2">
        <v>8774</v>
      </c>
      <c r="E208" s="2">
        <v>2623</v>
      </c>
      <c r="F208" s="2" t="s">
        <v>36</v>
      </c>
      <c r="G208" s="4" t="str">
        <f>IF('Expense Data'!E208&lt;='Expense Data'!D208,"On Budget","Over Budget")</f>
        <v>On Budget</v>
      </c>
    </row>
    <row r="209" spans="1:7" x14ac:dyDescent="0.3">
      <c r="A209" s="3" t="s">
        <v>9</v>
      </c>
      <c r="B209" s="2" t="s">
        <v>10</v>
      </c>
      <c r="C209" s="2" t="s">
        <v>11</v>
      </c>
      <c r="D209" s="2">
        <v>1581</v>
      </c>
      <c r="E209" s="2">
        <v>9313</v>
      </c>
      <c r="F209" s="2" t="s">
        <v>36</v>
      </c>
      <c r="G209" s="4" t="str">
        <f>IF('Expense Data'!E209&lt;='Expense Data'!D209,"On Budget","Over Budget")</f>
        <v>Over Budget</v>
      </c>
    </row>
    <row r="210" spans="1:7" x14ac:dyDescent="0.3">
      <c r="A210" s="3" t="s">
        <v>27</v>
      </c>
      <c r="B210" s="2" t="s">
        <v>7</v>
      </c>
      <c r="C210" s="2" t="s">
        <v>20</v>
      </c>
      <c r="D210" s="2">
        <v>1411</v>
      </c>
      <c r="E210" s="2">
        <v>10859</v>
      </c>
      <c r="F210" s="2" t="s">
        <v>15</v>
      </c>
      <c r="G210" s="4" t="str">
        <f>IF('Expense Data'!E210&lt;='Expense Data'!D210,"On Budget","Over Budget")</f>
        <v>Over Budget</v>
      </c>
    </row>
    <row r="211" spans="1:7" x14ac:dyDescent="0.3">
      <c r="A211" s="3" t="s">
        <v>22</v>
      </c>
      <c r="B211" s="2" t="s">
        <v>31</v>
      </c>
      <c r="C211" s="2" t="s">
        <v>17</v>
      </c>
      <c r="D211" s="2">
        <v>2510</v>
      </c>
      <c r="E211" s="2">
        <v>829</v>
      </c>
      <c r="F211" s="2" t="s">
        <v>15</v>
      </c>
      <c r="G211" s="4" t="str">
        <f>IF('Expense Data'!E211&lt;='Expense Data'!D211,"On Budget","Over Budget")</f>
        <v>On Budget</v>
      </c>
    </row>
    <row r="212" spans="1:7" x14ac:dyDescent="0.3">
      <c r="A212" s="3" t="s">
        <v>27</v>
      </c>
      <c r="B212" s="2" t="s">
        <v>35</v>
      </c>
      <c r="C212" s="2" t="s">
        <v>21</v>
      </c>
      <c r="D212" s="2">
        <v>3999</v>
      </c>
      <c r="E212" s="2">
        <v>5731</v>
      </c>
      <c r="F212" s="2" t="s">
        <v>12</v>
      </c>
      <c r="G212" s="4" t="str">
        <f>IF('Expense Data'!E212&lt;='Expense Data'!D212,"On Budget","Over Budget")</f>
        <v>Over Budget</v>
      </c>
    </row>
    <row r="213" spans="1:7" x14ac:dyDescent="0.3">
      <c r="A213" s="3" t="s">
        <v>22</v>
      </c>
      <c r="B213" s="2" t="s">
        <v>35</v>
      </c>
      <c r="C213" s="2" t="s">
        <v>32</v>
      </c>
      <c r="D213" s="2">
        <v>3437</v>
      </c>
      <c r="E213" s="2">
        <v>7101</v>
      </c>
      <c r="F213" s="2" t="s">
        <v>19</v>
      </c>
      <c r="G213" s="4" t="str">
        <f>IF('Expense Data'!E213&lt;='Expense Data'!D213,"On Budget","Over Budget")</f>
        <v>Over Budget</v>
      </c>
    </row>
    <row r="214" spans="1:7" x14ac:dyDescent="0.3">
      <c r="A214" s="3" t="s">
        <v>13</v>
      </c>
      <c r="B214" s="2" t="s">
        <v>28</v>
      </c>
      <c r="C214" s="2" t="s">
        <v>32</v>
      </c>
      <c r="D214" s="2">
        <v>2037</v>
      </c>
      <c r="E214" s="2">
        <v>5070</v>
      </c>
      <c r="F214" s="2" t="s">
        <v>30</v>
      </c>
      <c r="G214" s="4" t="str">
        <f>IF('Expense Data'!E214&lt;='Expense Data'!D214,"On Budget","Over Budget")</f>
        <v>Over Budget</v>
      </c>
    </row>
    <row r="215" spans="1:7" x14ac:dyDescent="0.3">
      <c r="A215" s="3" t="s">
        <v>27</v>
      </c>
      <c r="B215" s="2" t="s">
        <v>7</v>
      </c>
      <c r="C215" s="2" t="s">
        <v>24</v>
      </c>
      <c r="D215" s="2">
        <v>4731</v>
      </c>
      <c r="E215" s="2">
        <v>9374</v>
      </c>
      <c r="F215" s="2" t="s">
        <v>15</v>
      </c>
      <c r="G215" s="4" t="str">
        <f>IF('Expense Data'!E215&lt;='Expense Data'!D215,"On Budget","Over Budget")</f>
        <v>Over Budget</v>
      </c>
    </row>
    <row r="216" spans="1:7" x14ac:dyDescent="0.3">
      <c r="A216" s="3" t="s">
        <v>9</v>
      </c>
      <c r="B216" s="2" t="s">
        <v>31</v>
      </c>
      <c r="C216" s="2" t="s">
        <v>11</v>
      </c>
      <c r="D216" s="2">
        <v>4308</v>
      </c>
      <c r="E216" s="2">
        <v>10473</v>
      </c>
      <c r="F216" s="2" t="s">
        <v>30</v>
      </c>
      <c r="G216" s="4" t="str">
        <f>IF('Expense Data'!E216&lt;='Expense Data'!D216,"On Budget","Over Budget")</f>
        <v>Over Budget</v>
      </c>
    </row>
    <row r="217" spans="1:7" x14ac:dyDescent="0.3">
      <c r="A217" s="3" t="s">
        <v>9</v>
      </c>
      <c r="B217" s="2" t="s">
        <v>7</v>
      </c>
      <c r="C217" s="2" t="s">
        <v>29</v>
      </c>
      <c r="D217" s="2">
        <v>4627</v>
      </c>
      <c r="E217" s="2">
        <v>4041</v>
      </c>
      <c r="F217" s="2" t="s">
        <v>30</v>
      </c>
      <c r="G217" s="4" t="str">
        <f>IF('Expense Data'!E217&lt;='Expense Data'!D217,"On Budget","Over Budget")</f>
        <v>On Budget</v>
      </c>
    </row>
    <row r="218" spans="1:7" x14ac:dyDescent="0.3">
      <c r="A218" s="3" t="s">
        <v>33</v>
      </c>
      <c r="B218" s="2" t="s">
        <v>35</v>
      </c>
      <c r="C218" s="2" t="s">
        <v>34</v>
      </c>
      <c r="D218" s="2">
        <v>6862</v>
      </c>
      <c r="E218" s="2">
        <v>3032</v>
      </c>
      <c r="F218" s="2" t="s">
        <v>15</v>
      </c>
      <c r="G218" s="4" t="str">
        <f>IF('Expense Data'!E218&lt;='Expense Data'!D218,"On Budget","Over Budget")</f>
        <v>On Budget</v>
      </c>
    </row>
    <row r="219" spans="1:7" x14ac:dyDescent="0.3">
      <c r="A219" s="3" t="s">
        <v>33</v>
      </c>
      <c r="B219" s="2" t="s">
        <v>31</v>
      </c>
      <c r="C219" s="2" t="s">
        <v>21</v>
      </c>
      <c r="D219" s="2">
        <v>7844</v>
      </c>
      <c r="E219" s="2">
        <v>4955</v>
      </c>
      <c r="F219" s="2" t="s">
        <v>30</v>
      </c>
      <c r="G219" s="4" t="str">
        <f>IF('Expense Data'!E219&lt;='Expense Data'!D219,"On Budget","Over Budget")</f>
        <v>On Budget</v>
      </c>
    </row>
    <row r="220" spans="1:7" x14ac:dyDescent="0.3">
      <c r="A220" s="3" t="s">
        <v>16</v>
      </c>
      <c r="B220" s="2" t="s">
        <v>31</v>
      </c>
      <c r="C220" s="2" t="s">
        <v>17</v>
      </c>
      <c r="D220" s="2">
        <v>2516</v>
      </c>
      <c r="E220" s="2">
        <v>9990</v>
      </c>
      <c r="F220" s="2" t="s">
        <v>19</v>
      </c>
      <c r="G220" s="4" t="str">
        <f>IF('Expense Data'!E220&lt;='Expense Data'!D220,"On Budget","Over Budget")</f>
        <v>Over Budget</v>
      </c>
    </row>
    <row r="221" spans="1:7" x14ac:dyDescent="0.3">
      <c r="A221" s="3" t="s">
        <v>9</v>
      </c>
      <c r="B221" s="2" t="s">
        <v>25</v>
      </c>
      <c r="C221" s="2" t="s">
        <v>17</v>
      </c>
      <c r="D221" s="2">
        <v>1092</v>
      </c>
      <c r="E221" s="2">
        <v>6186</v>
      </c>
      <c r="F221" s="2" t="s">
        <v>36</v>
      </c>
      <c r="G221" s="4" t="str">
        <f>IF('Expense Data'!E221&lt;='Expense Data'!D221,"On Budget","Over Budget")</f>
        <v>Over Budget</v>
      </c>
    </row>
    <row r="222" spans="1:7" x14ac:dyDescent="0.3">
      <c r="A222" s="3" t="s">
        <v>13</v>
      </c>
      <c r="B222" s="2" t="s">
        <v>35</v>
      </c>
      <c r="C222" s="2" t="s">
        <v>34</v>
      </c>
      <c r="D222" s="2">
        <v>8416</v>
      </c>
      <c r="E222" s="2">
        <v>2902</v>
      </c>
      <c r="F222" s="2" t="s">
        <v>36</v>
      </c>
      <c r="G222" s="4" t="str">
        <f>IF('Expense Data'!E222&lt;='Expense Data'!D222,"On Budget","Over Budget")</f>
        <v>On Budget</v>
      </c>
    </row>
    <row r="223" spans="1:7" x14ac:dyDescent="0.3">
      <c r="A223" s="3" t="s">
        <v>22</v>
      </c>
      <c r="B223" s="2" t="s">
        <v>7</v>
      </c>
      <c r="C223" s="2" t="s">
        <v>24</v>
      </c>
      <c r="D223" s="2">
        <v>2566</v>
      </c>
      <c r="E223" s="2">
        <v>10511</v>
      </c>
      <c r="F223" s="2" t="s">
        <v>36</v>
      </c>
      <c r="G223" s="4" t="str">
        <f>IF('Expense Data'!E223&lt;='Expense Data'!D223,"On Budget","Over Budget")</f>
        <v>Over Budget</v>
      </c>
    </row>
    <row r="224" spans="1:7" x14ac:dyDescent="0.3">
      <c r="A224" s="3" t="s">
        <v>22</v>
      </c>
      <c r="B224" s="2" t="s">
        <v>31</v>
      </c>
      <c r="C224" s="2" t="s">
        <v>26</v>
      </c>
      <c r="D224" s="2">
        <v>2370</v>
      </c>
      <c r="E224" s="2">
        <v>4561</v>
      </c>
      <c r="F224" s="2" t="s">
        <v>36</v>
      </c>
      <c r="G224" s="4" t="str">
        <f>IF('Expense Data'!E224&lt;='Expense Data'!D224,"On Budget","Over Budget")</f>
        <v>Over Budget</v>
      </c>
    </row>
    <row r="225" spans="1:7" x14ac:dyDescent="0.3">
      <c r="A225" s="3" t="s">
        <v>9</v>
      </c>
      <c r="B225" s="2" t="s">
        <v>10</v>
      </c>
      <c r="C225" s="2" t="s">
        <v>14</v>
      </c>
      <c r="D225" s="2">
        <v>3482</v>
      </c>
      <c r="E225" s="2">
        <v>11562</v>
      </c>
      <c r="F225" s="2" t="s">
        <v>19</v>
      </c>
      <c r="G225" s="4" t="str">
        <f>IF('Expense Data'!E225&lt;='Expense Data'!D225,"On Budget","Over Budget")</f>
        <v>Over Budget</v>
      </c>
    </row>
    <row r="226" spans="1:7" x14ac:dyDescent="0.3">
      <c r="A226" s="3" t="s">
        <v>9</v>
      </c>
      <c r="B226" s="2" t="s">
        <v>31</v>
      </c>
      <c r="C226" s="2" t="s">
        <v>17</v>
      </c>
      <c r="D226" s="2">
        <v>3696</v>
      </c>
      <c r="E226" s="2">
        <v>6289</v>
      </c>
      <c r="F226" s="2" t="s">
        <v>15</v>
      </c>
      <c r="G226" s="4" t="str">
        <f>IF('Expense Data'!E226&lt;='Expense Data'!D226,"On Budget","Over Budget")</f>
        <v>Over Budget</v>
      </c>
    </row>
    <row r="227" spans="1:7" x14ac:dyDescent="0.3">
      <c r="A227" s="3" t="s">
        <v>13</v>
      </c>
      <c r="B227" s="2" t="s">
        <v>28</v>
      </c>
      <c r="C227" s="2" t="s">
        <v>29</v>
      </c>
      <c r="D227" s="2">
        <v>3146</v>
      </c>
      <c r="E227" s="2">
        <v>8730</v>
      </c>
      <c r="F227" s="2" t="s">
        <v>30</v>
      </c>
      <c r="G227" s="4" t="str">
        <f>IF('Expense Data'!E227&lt;='Expense Data'!D227,"On Budget","Over Budget")</f>
        <v>Over Budget</v>
      </c>
    </row>
    <row r="228" spans="1:7" x14ac:dyDescent="0.3">
      <c r="A228" s="3" t="s">
        <v>9</v>
      </c>
      <c r="B228" s="2" t="s">
        <v>31</v>
      </c>
      <c r="C228" s="2" t="s">
        <v>20</v>
      </c>
      <c r="D228" s="2">
        <v>5311</v>
      </c>
      <c r="E228" s="2">
        <v>5567</v>
      </c>
      <c r="F228" s="2" t="s">
        <v>19</v>
      </c>
      <c r="G228" s="4" t="str">
        <f>IF('Expense Data'!E228&lt;='Expense Data'!D228,"On Budget","Over Budget")</f>
        <v>Over Budget</v>
      </c>
    </row>
    <row r="229" spans="1:7" x14ac:dyDescent="0.3">
      <c r="A229" s="3" t="s">
        <v>33</v>
      </c>
      <c r="B229" s="2" t="s">
        <v>35</v>
      </c>
      <c r="C229" s="2" t="s">
        <v>32</v>
      </c>
      <c r="D229" s="2">
        <v>6783</v>
      </c>
      <c r="E229" s="2">
        <v>2722</v>
      </c>
      <c r="F229" s="2" t="s">
        <v>19</v>
      </c>
      <c r="G229" s="4" t="str">
        <f>IF('Expense Data'!E229&lt;='Expense Data'!D229,"On Budget","Over Budget")</f>
        <v>On Budget</v>
      </c>
    </row>
    <row r="230" spans="1:7" x14ac:dyDescent="0.3">
      <c r="A230" s="3" t="s">
        <v>16</v>
      </c>
      <c r="B230" s="2" t="s">
        <v>10</v>
      </c>
      <c r="C230" s="2" t="s">
        <v>20</v>
      </c>
      <c r="D230" s="2">
        <v>3051</v>
      </c>
      <c r="E230" s="2">
        <v>4973</v>
      </c>
      <c r="F230" s="2" t="s">
        <v>15</v>
      </c>
      <c r="G230" s="4" t="str">
        <f>IF('Expense Data'!E230&lt;='Expense Data'!D230,"On Budget","Over Budget")</f>
        <v>Over Budget</v>
      </c>
    </row>
    <row r="231" spans="1:7" x14ac:dyDescent="0.3">
      <c r="A231" s="3" t="s">
        <v>27</v>
      </c>
      <c r="B231" s="2" t="s">
        <v>35</v>
      </c>
      <c r="C231" s="2" t="s">
        <v>17</v>
      </c>
      <c r="D231" s="2">
        <v>7063</v>
      </c>
      <c r="E231" s="2">
        <v>11541</v>
      </c>
      <c r="F231" s="2" t="s">
        <v>15</v>
      </c>
      <c r="G231" s="4" t="str">
        <f>IF('Expense Data'!E231&lt;='Expense Data'!D231,"On Budget","Over Budget")</f>
        <v>Over Budget</v>
      </c>
    </row>
    <row r="232" spans="1:7" x14ac:dyDescent="0.3">
      <c r="A232" s="3" t="s">
        <v>22</v>
      </c>
      <c r="B232" s="2" t="s">
        <v>28</v>
      </c>
      <c r="C232" s="2" t="s">
        <v>24</v>
      </c>
      <c r="D232" s="2">
        <v>1725</v>
      </c>
      <c r="E232" s="2">
        <v>6868</v>
      </c>
      <c r="F232" s="2" t="s">
        <v>36</v>
      </c>
      <c r="G232" s="4" t="str">
        <f>IF('Expense Data'!E232&lt;='Expense Data'!D232,"On Budget","Over Budget")</f>
        <v>Over Budget</v>
      </c>
    </row>
    <row r="233" spans="1:7" x14ac:dyDescent="0.3">
      <c r="A233" s="3" t="s">
        <v>33</v>
      </c>
      <c r="B233" s="2" t="s">
        <v>10</v>
      </c>
      <c r="C233" s="2" t="s">
        <v>26</v>
      </c>
      <c r="D233" s="2">
        <v>5794</v>
      </c>
      <c r="E233" s="2">
        <v>11277</v>
      </c>
      <c r="F233" s="2" t="s">
        <v>19</v>
      </c>
      <c r="G233" s="4" t="str">
        <f>IF('Expense Data'!E233&lt;='Expense Data'!D233,"On Budget","Over Budget")</f>
        <v>Over Budget</v>
      </c>
    </row>
    <row r="234" spans="1:7" x14ac:dyDescent="0.3">
      <c r="A234" s="3" t="s">
        <v>27</v>
      </c>
      <c r="B234" s="2" t="s">
        <v>23</v>
      </c>
      <c r="C234" s="2" t="s">
        <v>26</v>
      </c>
      <c r="D234" s="2">
        <v>9028</v>
      </c>
      <c r="E234" s="2">
        <v>7225</v>
      </c>
      <c r="F234" s="2" t="s">
        <v>15</v>
      </c>
      <c r="G234" s="4" t="str">
        <f>IF('Expense Data'!E234&lt;='Expense Data'!D234,"On Budget","Over Budget")</f>
        <v>On Budget</v>
      </c>
    </row>
    <row r="235" spans="1:7" x14ac:dyDescent="0.3">
      <c r="A235" s="3" t="s">
        <v>27</v>
      </c>
      <c r="B235" s="2" t="s">
        <v>25</v>
      </c>
      <c r="C235" s="2" t="s">
        <v>29</v>
      </c>
      <c r="D235" s="2">
        <v>3737</v>
      </c>
      <c r="E235" s="2">
        <v>11355</v>
      </c>
      <c r="F235" s="2" t="s">
        <v>36</v>
      </c>
      <c r="G235" s="4" t="str">
        <f>IF('Expense Data'!E235&lt;='Expense Data'!D235,"On Budget","Over Budget")</f>
        <v>Over Budget</v>
      </c>
    </row>
    <row r="236" spans="1:7" x14ac:dyDescent="0.3">
      <c r="A236" s="3" t="s">
        <v>13</v>
      </c>
      <c r="B236" s="2" t="s">
        <v>25</v>
      </c>
      <c r="C236" s="2" t="s">
        <v>14</v>
      </c>
      <c r="D236" s="2">
        <v>8956</v>
      </c>
      <c r="E236" s="2">
        <v>4518</v>
      </c>
      <c r="F236" s="2" t="s">
        <v>12</v>
      </c>
      <c r="G236" s="4" t="str">
        <f>IF('Expense Data'!E236&lt;='Expense Data'!D236,"On Budget","Over Budget")</f>
        <v>On Budget</v>
      </c>
    </row>
    <row r="237" spans="1:7" x14ac:dyDescent="0.3">
      <c r="A237" s="3" t="s">
        <v>6</v>
      </c>
      <c r="B237" s="2" t="s">
        <v>10</v>
      </c>
      <c r="C237" s="2" t="s">
        <v>11</v>
      </c>
      <c r="D237" s="2">
        <v>9697</v>
      </c>
      <c r="E237" s="2">
        <v>1217</v>
      </c>
      <c r="F237" s="2" t="s">
        <v>36</v>
      </c>
      <c r="G237" s="4" t="str">
        <f>IF('Expense Data'!E237&lt;='Expense Data'!D237,"On Budget","Over Budget")</f>
        <v>On Budget</v>
      </c>
    </row>
    <row r="238" spans="1:7" x14ac:dyDescent="0.3">
      <c r="A238" s="3" t="s">
        <v>27</v>
      </c>
      <c r="B238" s="2" t="s">
        <v>28</v>
      </c>
      <c r="C238" s="2" t="s">
        <v>24</v>
      </c>
      <c r="D238" s="2">
        <v>5137</v>
      </c>
      <c r="E238" s="2">
        <v>2621</v>
      </c>
      <c r="F238" s="2" t="s">
        <v>30</v>
      </c>
      <c r="G238" s="4" t="str">
        <f>IF('Expense Data'!E238&lt;='Expense Data'!D238,"On Budget","Over Budget")</f>
        <v>On Budget</v>
      </c>
    </row>
    <row r="239" spans="1:7" x14ac:dyDescent="0.3">
      <c r="A239" s="3" t="s">
        <v>16</v>
      </c>
      <c r="B239" s="2" t="s">
        <v>28</v>
      </c>
      <c r="C239" s="2" t="s">
        <v>18</v>
      </c>
      <c r="D239" s="2">
        <v>5909</v>
      </c>
      <c r="E239" s="2">
        <v>1649</v>
      </c>
      <c r="F239" s="2" t="s">
        <v>36</v>
      </c>
      <c r="G239" s="4" t="str">
        <f>IF('Expense Data'!E239&lt;='Expense Data'!D239,"On Budget","Over Budget")</f>
        <v>On Budget</v>
      </c>
    </row>
    <row r="240" spans="1:7" x14ac:dyDescent="0.3">
      <c r="A240" s="3" t="s">
        <v>6</v>
      </c>
      <c r="B240" s="2" t="s">
        <v>23</v>
      </c>
      <c r="C240" s="2" t="s">
        <v>21</v>
      </c>
      <c r="D240" s="2">
        <v>4461</v>
      </c>
      <c r="E240" s="2">
        <v>4936</v>
      </c>
      <c r="F240" s="2" t="s">
        <v>30</v>
      </c>
      <c r="G240" s="4" t="str">
        <f>IF('Expense Data'!E240&lt;='Expense Data'!D240,"On Budget","Over Budget")</f>
        <v>Over Budget</v>
      </c>
    </row>
    <row r="241" spans="1:7" x14ac:dyDescent="0.3">
      <c r="A241" s="3" t="s">
        <v>22</v>
      </c>
      <c r="B241" s="2" t="s">
        <v>25</v>
      </c>
      <c r="C241" s="2" t="s">
        <v>21</v>
      </c>
      <c r="D241" s="2">
        <v>5403</v>
      </c>
      <c r="E241" s="2">
        <v>5025</v>
      </c>
      <c r="F241" s="2" t="s">
        <v>30</v>
      </c>
      <c r="G241" s="4" t="str">
        <f>IF('Expense Data'!E241&lt;='Expense Data'!D241,"On Budget","Over Budget")</f>
        <v>On Budget</v>
      </c>
    </row>
    <row r="242" spans="1:7" x14ac:dyDescent="0.3">
      <c r="A242" s="3" t="s">
        <v>9</v>
      </c>
      <c r="B242" s="2" t="s">
        <v>28</v>
      </c>
      <c r="C242" s="2" t="s">
        <v>17</v>
      </c>
      <c r="D242" s="2">
        <v>4296</v>
      </c>
      <c r="E242" s="2">
        <v>8838</v>
      </c>
      <c r="F242" s="2" t="s">
        <v>19</v>
      </c>
      <c r="G242" s="4" t="str">
        <f>IF('Expense Data'!E242&lt;='Expense Data'!D242,"On Budget","Over Budget")</f>
        <v>Over Budget</v>
      </c>
    </row>
    <row r="243" spans="1:7" x14ac:dyDescent="0.3">
      <c r="A243" s="3" t="s">
        <v>6</v>
      </c>
      <c r="B243" s="2" t="s">
        <v>10</v>
      </c>
      <c r="C243" s="2" t="s">
        <v>32</v>
      </c>
      <c r="D243" s="2">
        <v>4887</v>
      </c>
      <c r="E243" s="2">
        <v>11039</v>
      </c>
      <c r="F243" s="2" t="s">
        <v>30</v>
      </c>
      <c r="G243" s="4" t="str">
        <f>IF('Expense Data'!E243&lt;='Expense Data'!D243,"On Budget","Over Budget")</f>
        <v>Over Budget</v>
      </c>
    </row>
    <row r="244" spans="1:7" x14ac:dyDescent="0.3">
      <c r="A244" s="3" t="s">
        <v>9</v>
      </c>
      <c r="B244" s="2" t="s">
        <v>23</v>
      </c>
      <c r="C244" s="2" t="s">
        <v>8</v>
      </c>
      <c r="D244" s="2">
        <v>7503</v>
      </c>
      <c r="E244" s="2">
        <v>7005</v>
      </c>
      <c r="F244" s="2" t="s">
        <v>12</v>
      </c>
      <c r="G244" s="4" t="str">
        <f>IF('Expense Data'!E244&lt;='Expense Data'!D244,"On Budget","Over Budget")</f>
        <v>On Budget</v>
      </c>
    </row>
    <row r="245" spans="1:7" x14ac:dyDescent="0.3">
      <c r="A245" s="3" t="s">
        <v>6</v>
      </c>
      <c r="B245" s="2" t="s">
        <v>28</v>
      </c>
      <c r="C245" s="2" t="s">
        <v>26</v>
      </c>
      <c r="D245" s="2">
        <v>4565</v>
      </c>
      <c r="E245" s="2">
        <v>11868</v>
      </c>
      <c r="F245" s="2" t="s">
        <v>15</v>
      </c>
      <c r="G245" s="4" t="str">
        <f>IF('Expense Data'!E245&lt;='Expense Data'!D245,"On Budget","Over Budget")</f>
        <v>Over Budget</v>
      </c>
    </row>
    <row r="246" spans="1:7" x14ac:dyDescent="0.3">
      <c r="A246" s="3" t="s">
        <v>13</v>
      </c>
      <c r="B246" s="2" t="s">
        <v>31</v>
      </c>
      <c r="C246" s="2" t="s">
        <v>24</v>
      </c>
      <c r="D246" s="2">
        <v>7684</v>
      </c>
      <c r="E246" s="2">
        <v>8033</v>
      </c>
      <c r="F246" s="2" t="s">
        <v>15</v>
      </c>
      <c r="G246" s="4" t="str">
        <f>IF('Expense Data'!E246&lt;='Expense Data'!D246,"On Budget","Over Budget")</f>
        <v>Over Budget</v>
      </c>
    </row>
    <row r="247" spans="1:7" x14ac:dyDescent="0.3">
      <c r="A247" s="3" t="s">
        <v>16</v>
      </c>
      <c r="B247" s="2" t="s">
        <v>28</v>
      </c>
      <c r="C247" s="2" t="s">
        <v>11</v>
      </c>
      <c r="D247" s="2">
        <v>7222</v>
      </c>
      <c r="E247" s="2">
        <v>3132</v>
      </c>
      <c r="F247" s="2" t="s">
        <v>12</v>
      </c>
      <c r="G247" s="4" t="str">
        <f>IF('Expense Data'!E247&lt;='Expense Data'!D247,"On Budget","Over Budget")</f>
        <v>On Budget</v>
      </c>
    </row>
    <row r="248" spans="1:7" x14ac:dyDescent="0.3">
      <c r="A248" s="3" t="s">
        <v>13</v>
      </c>
      <c r="B248" s="2" t="s">
        <v>10</v>
      </c>
      <c r="C248" s="2" t="s">
        <v>20</v>
      </c>
      <c r="D248" s="2">
        <v>4850</v>
      </c>
      <c r="E248" s="2">
        <v>10802</v>
      </c>
      <c r="F248" s="2" t="s">
        <v>12</v>
      </c>
      <c r="G248" s="4" t="str">
        <f>IF('Expense Data'!E248&lt;='Expense Data'!D248,"On Budget","Over Budget")</f>
        <v>Over Budget</v>
      </c>
    </row>
    <row r="249" spans="1:7" x14ac:dyDescent="0.3">
      <c r="A249" s="3" t="s">
        <v>27</v>
      </c>
      <c r="B249" s="2" t="s">
        <v>7</v>
      </c>
      <c r="C249" s="2" t="s">
        <v>32</v>
      </c>
      <c r="D249" s="2">
        <v>9903</v>
      </c>
      <c r="E249" s="2">
        <v>7267</v>
      </c>
      <c r="F249" s="2" t="s">
        <v>36</v>
      </c>
      <c r="G249" s="4" t="str">
        <f>IF('Expense Data'!E249&lt;='Expense Data'!D249,"On Budget","Over Budget")</f>
        <v>On Budget</v>
      </c>
    </row>
    <row r="250" spans="1:7" x14ac:dyDescent="0.3">
      <c r="A250" s="3" t="s">
        <v>6</v>
      </c>
      <c r="B250" s="2" t="s">
        <v>31</v>
      </c>
      <c r="C250" s="2" t="s">
        <v>21</v>
      </c>
      <c r="D250" s="2">
        <v>8977</v>
      </c>
      <c r="E250" s="2">
        <v>5891</v>
      </c>
      <c r="F250" s="2" t="s">
        <v>12</v>
      </c>
      <c r="G250" s="4" t="str">
        <f>IF('Expense Data'!E250&lt;='Expense Data'!D250,"On Budget","Over Budget")</f>
        <v>On Budget</v>
      </c>
    </row>
    <row r="251" spans="1:7" x14ac:dyDescent="0.3">
      <c r="A251" s="3" t="s">
        <v>9</v>
      </c>
      <c r="B251" s="2" t="s">
        <v>23</v>
      </c>
      <c r="C251" s="2" t="s">
        <v>8</v>
      </c>
      <c r="D251" s="2">
        <v>5480</v>
      </c>
      <c r="E251" s="2">
        <v>6988</v>
      </c>
      <c r="F251" s="2" t="s">
        <v>30</v>
      </c>
      <c r="G251" s="4" t="str">
        <f>IF('Expense Data'!E251&lt;='Expense Data'!D251,"On Budget","Over Budget")</f>
        <v>Over Budget</v>
      </c>
    </row>
    <row r="252" spans="1:7" x14ac:dyDescent="0.3">
      <c r="A252" s="3" t="s">
        <v>22</v>
      </c>
      <c r="B252" s="2" t="s">
        <v>31</v>
      </c>
      <c r="C252" s="2" t="s">
        <v>14</v>
      </c>
      <c r="D252" s="2">
        <v>5162</v>
      </c>
      <c r="E252" s="2">
        <v>2896</v>
      </c>
      <c r="F252" s="2" t="s">
        <v>12</v>
      </c>
      <c r="G252" s="4" t="str">
        <f>IF('Expense Data'!E252&lt;='Expense Data'!D252,"On Budget","Over Budget")</f>
        <v>On Budget</v>
      </c>
    </row>
    <row r="253" spans="1:7" x14ac:dyDescent="0.3">
      <c r="A253" s="3" t="s">
        <v>27</v>
      </c>
      <c r="B253" s="2" t="s">
        <v>23</v>
      </c>
      <c r="C253" s="2" t="s">
        <v>14</v>
      </c>
      <c r="D253" s="2">
        <v>1988</v>
      </c>
      <c r="E253" s="2">
        <v>2949</v>
      </c>
      <c r="F253" s="2" t="s">
        <v>19</v>
      </c>
      <c r="G253" s="4" t="str">
        <f>IF('Expense Data'!E253&lt;='Expense Data'!D253,"On Budget","Over Budget")</f>
        <v>Over Budget</v>
      </c>
    </row>
    <row r="254" spans="1:7" x14ac:dyDescent="0.3">
      <c r="A254" s="3" t="s">
        <v>6</v>
      </c>
      <c r="B254" s="2" t="s">
        <v>31</v>
      </c>
      <c r="C254" s="2" t="s">
        <v>21</v>
      </c>
      <c r="D254" s="2">
        <v>8505</v>
      </c>
      <c r="E254" s="2">
        <v>6328</v>
      </c>
      <c r="F254" s="2" t="s">
        <v>12</v>
      </c>
      <c r="G254" s="4" t="str">
        <f>IF('Expense Data'!E254&lt;='Expense Data'!D254,"On Budget","Over Budget")</f>
        <v>On Budget</v>
      </c>
    </row>
    <row r="255" spans="1:7" x14ac:dyDescent="0.3">
      <c r="A255" s="3" t="s">
        <v>22</v>
      </c>
      <c r="B255" s="2" t="s">
        <v>7</v>
      </c>
      <c r="C255" s="2" t="s">
        <v>26</v>
      </c>
      <c r="D255" s="2">
        <v>8322</v>
      </c>
      <c r="E255" s="2">
        <v>3280</v>
      </c>
      <c r="F255" s="2" t="s">
        <v>15</v>
      </c>
      <c r="G255" s="4" t="str">
        <f>IF('Expense Data'!E255&lt;='Expense Data'!D255,"On Budget","Over Budget")</f>
        <v>On Budget</v>
      </c>
    </row>
    <row r="256" spans="1:7" x14ac:dyDescent="0.3">
      <c r="A256" s="3" t="s">
        <v>22</v>
      </c>
      <c r="B256" s="2" t="s">
        <v>35</v>
      </c>
      <c r="C256" s="2" t="s">
        <v>8</v>
      </c>
      <c r="D256" s="2">
        <v>5889</v>
      </c>
      <c r="E256" s="2">
        <v>11407</v>
      </c>
      <c r="F256" s="2" t="s">
        <v>12</v>
      </c>
      <c r="G256" s="4" t="str">
        <f>IF('Expense Data'!E256&lt;='Expense Data'!D256,"On Budget","Over Budget")</f>
        <v>Over Budget</v>
      </c>
    </row>
    <row r="257" spans="1:7" x14ac:dyDescent="0.3">
      <c r="A257" s="3" t="s">
        <v>6</v>
      </c>
      <c r="B257" s="2" t="s">
        <v>10</v>
      </c>
      <c r="C257" s="2" t="s">
        <v>24</v>
      </c>
      <c r="D257" s="2">
        <v>3770</v>
      </c>
      <c r="E257" s="2">
        <v>2148</v>
      </c>
      <c r="F257" s="2" t="s">
        <v>36</v>
      </c>
      <c r="G257" s="4" t="str">
        <f>IF('Expense Data'!E257&lt;='Expense Data'!D257,"On Budget","Over Budget")</f>
        <v>On Budget</v>
      </c>
    </row>
    <row r="258" spans="1:7" x14ac:dyDescent="0.3">
      <c r="A258" s="3" t="s">
        <v>9</v>
      </c>
      <c r="B258" s="2" t="s">
        <v>28</v>
      </c>
      <c r="C258" s="2" t="s">
        <v>34</v>
      </c>
      <c r="D258" s="2">
        <v>5971</v>
      </c>
      <c r="E258" s="2">
        <v>9057</v>
      </c>
      <c r="F258" s="2" t="s">
        <v>12</v>
      </c>
      <c r="G258" s="4" t="str">
        <f>IF('Expense Data'!E258&lt;='Expense Data'!D258,"On Budget","Over Budget")</f>
        <v>Over Budget</v>
      </c>
    </row>
    <row r="259" spans="1:7" x14ac:dyDescent="0.3">
      <c r="A259" s="3" t="s">
        <v>13</v>
      </c>
      <c r="B259" s="2" t="s">
        <v>23</v>
      </c>
      <c r="C259" s="2" t="s">
        <v>20</v>
      </c>
      <c r="D259" s="2">
        <v>8040</v>
      </c>
      <c r="E259" s="2">
        <v>11687</v>
      </c>
      <c r="F259" s="2" t="s">
        <v>30</v>
      </c>
      <c r="G259" s="4" t="str">
        <f>IF('Expense Data'!E259&lt;='Expense Data'!D259,"On Budget","Over Budget")</f>
        <v>Over Budget</v>
      </c>
    </row>
    <row r="260" spans="1:7" x14ac:dyDescent="0.3">
      <c r="A260" s="3" t="s">
        <v>22</v>
      </c>
      <c r="B260" s="2" t="s">
        <v>23</v>
      </c>
      <c r="C260" s="2" t="s">
        <v>20</v>
      </c>
      <c r="D260" s="2">
        <v>6994</v>
      </c>
      <c r="E260" s="2">
        <v>1587</v>
      </c>
      <c r="F260" s="2" t="s">
        <v>30</v>
      </c>
      <c r="G260" s="4" t="str">
        <f>IF('Expense Data'!E260&lt;='Expense Data'!D260,"On Budget","Over Budget")</f>
        <v>On Budget</v>
      </c>
    </row>
    <row r="261" spans="1:7" x14ac:dyDescent="0.3">
      <c r="A261" s="3" t="s">
        <v>27</v>
      </c>
      <c r="B261" s="2" t="s">
        <v>7</v>
      </c>
      <c r="C261" s="2" t="s">
        <v>14</v>
      </c>
      <c r="D261" s="2">
        <v>5914</v>
      </c>
      <c r="E261" s="2">
        <v>8379</v>
      </c>
      <c r="F261" s="2" t="s">
        <v>30</v>
      </c>
      <c r="G261" s="4" t="str">
        <f>IF('Expense Data'!E261&lt;='Expense Data'!D261,"On Budget","Over Budget")</f>
        <v>Over Budget</v>
      </c>
    </row>
    <row r="262" spans="1:7" x14ac:dyDescent="0.3">
      <c r="A262" s="3" t="s">
        <v>22</v>
      </c>
      <c r="B262" s="2" t="s">
        <v>25</v>
      </c>
      <c r="C262" s="2" t="s">
        <v>24</v>
      </c>
      <c r="D262" s="2">
        <v>3620</v>
      </c>
      <c r="E262" s="2">
        <v>3030</v>
      </c>
      <c r="F262" s="2" t="s">
        <v>12</v>
      </c>
      <c r="G262" s="4" t="str">
        <f>IF('Expense Data'!E262&lt;='Expense Data'!D262,"On Budget","Over Budget")</f>
        <v>On Budget</v>
      </c>
    </row>
    <row r="263" spans="1:7" x14ac:dyDescent="0.3">
      <c r="A263" s="3" t="s">
        <v>16</v>
      </c>
      <c r="B263" s="2" t="s">
        <v>35</v>
      </c>
      <c r="C263" s="2" t="s">
        <v>32</v>
      </c>
      <c r="D263" s="2">
        <v>7143</v>
      </c>
      <c r="E263" s="2">
        <v>9689</v>
      </c>
      <c r="F263" s="2" t="s">
        <v>12</v>
      </c>
      <c r="G263" s="4" t="str">
        <f>IF('Expense Data'!E263&lt;='Expense Data'!D263,"On Budget","Over Budget")</f>
        <v>Over Budget</v>
      </c>
    </row>
    <row r="264" spans="1:7" x14ac:dyDescent="0.3">
      <c r="A264" s="3" t="s">
        <v>33</v>
      </c>
      <c r="B264" s="2" t="s">
        <v>25</v>
      </c>
      <c r="C264" s="2" t="s">
        <v>34</v>
      </c>
      <c r="D264" s="2">
        <v>9061</v>
      </c>
      <c r="E264" s="2">
        <v>2491</v>
      </c>
      <c r="F264" s="2" t="s">
        <v>19</v>
      </c>
      <c r="G264" s="4" t="str">
        <f>IF('Expense Data'!E264&lt;='Expense Data'!D264,"On Budget","Over Budget")</f>
        <v>On Budget</v>
      </c>
    </row>
    <row r="265" spans="1:7" x14ac:dyDescent="0.3">
      <c r="A265" s="3" t="s">
        <v>33</v>
      </c>
      <c r="B265" s="2" t="s">
        <v>23</v>
      </c>
      <c r="C265" s="2" t="s">
        <v>29</v>
      </c>
      <c r="D265" s="2">
        <v>7272</v>
      </c>
      <c r="E265" s="2">
        <v>5363</v>
      </c>
      <c r="F265" s="2" t="s">
        <v>15</v>
      </c>
      <c r="G265" s="4" t="str">
        <f>IF('Expense Data'!E265&lt;='Expense Data'!D265,"On Budget","Over Budget")</f>
        <v>On Budget</v>
      </c>
    </row>
    <row r="266" spans="1:7" x14ac:dyDescent="0.3">
      <c r="A266" s="3" t="s">
        <v>22</v>
      </c>
      <c r="B266" s="2" t="s">
        <v>25</v>
      </c>
      <c r="C266" s="2" t="s">
        <v>21</v>
      </c>
      <c r="D266" s="2">
        <v>1144</v>
      </c>
      <c r="E266" s="2">
        <v>1264</v>
      </c>
      <c r="F266" s="2" t="s">
        <v>36</v>
      </c>
      <c r="G266" s="4" t="str">
        <f>IF('Expense Data'!E266&lt;='Expense Data'!D266,"On Budget","Over Budget")</f>
        <v>Over Budget</v>
      </c>
    </row>
    <row r="267" spans="1:7" x14ac:dyDescent="0.3">
      <c r="A267" s="3" t="s">
        <v>9</v>
      </c>
      <c r="B267" s="2" t="s">
        <v>25</v>
      </c>
      <c r="C267" s="2" t="s">
        <v>11</v>
      </c>
      <c r="D267" s="2">
        <v>1574</v>
      </c>
      <c r="E267" s="2">
        <v>5204</v>
      </c>
      <c r="F267" s="2" t="s">
        <v>36</v>
      </c>
      <c r="G267" s="4" t="str">
        <f>IF('Expense Data'!E267&lt;='Expense Data'!D267,"On Budget","Over Budget")</f>
        <v>Over Budget</v>
      </c>
    </row>
    <row r="268" spans="1:7" x14ac:dyDescent="0.3">
      <c r="A268" s="3" t="s">
        <v>16</v>
      </c>
      <c r="B268" s="2" t="s">
        <v>7</v>
      </c>
      <c r="C268" s="2" t="s">
        <v>24</v>
      </c>
      <c r="D268" s="2">
        <v>2273</v>
      </c>
      <c r="E268" s="2">
        <v>9429</v>
      </c>
      <c r="F268" s="2" t="s">
        <v>12</v>
      </c>
      <c r="G268" s="4" t="str">
        <f>IF('Expense Data'!E268&lt;='Expense Data'!D268,"On Budget","Over Budget")</f>
        <v>Over Budget</v>
      </c>
    </row>
    <row r="269" spans="1:7" x14ac:dyDescent="0.3">
      <c r="A269" s="3" t="s">
        <v>27</v>
      </c>
      <c r="B269" s="2" t="s">
        <v>23</v>
      </c>
      <c r="C269" s="2" t="s">
        <v>8</v>
      </c>
      <c r="D269" s="2">
        <v>6168</v>
      </c>
      <c r="E269" s="2">
        <v>9646</v>
      </c>
      <c r="F269" s="2" t="s">
        <v>19</v>
      </c>
      <c r="G269" s="4" t="str">
        <f>IF('Expense Data'!E269&lt;='Expense Data'!D269,"On Budget","Over Budget")</f>
        <v>Over Budget</v>
      </c>
    </row>
    <row r="270" spans="1:7" x14ac:dyDescent="0.3">
      <c r="A270" s="3" t="s">
        <v>22</v>
      </c>
      <c r="B270" s="2" t="s">
        <v>10</v>
      </c>
      <c r="C270" s="2" t="s">
        <v>32</v>
      </c>
      <c r="D270" s="2">
        <v>4358</v>
      </c>
      <c r="E270" s="2">
        <v>8443</v>
      </c>
      <c r="F270" s="2" t="s">
        <v>19</v>
      </c>
      <c r="G270" s="4" t="str">
        <f>IF('Expense Data'!E270&lt;='Expense Data'!D270,"On Budget","Over Budget")</f>
        <v>Over Budget</v>
      </c>
    </row>
    <row r="271" spans="1:7" x14ac:dyDescent="0.3">
      <c r="A271" s="3" t="s">
        <v>22</v>
      </c>
      <c r="B271" s="2" t="s">
        <v>23</v>
      </c>
      <c r="C271" s="2" t="s">
        <v>29</v>
      </c>
      <c r="D271" s="2">
        <v>4347</v>
      </c>
      <c r="E271" s="2">
        <v>8891</v>
      </c>
      <c r="F271" s="2" t="s">
        <v>19</v>
      </c>
      <c r="G271" s="4" t="str">
        <f>IF('Expense Data'!E271&lt;='Expense Data'!D271,"On Budget","Over Budget")</f>
        <v>Over Budget</v>
      </c>
    </row>
    <row r="272" spans="1:7" x14ac:dyDescent="0.3">
      <c r="A272" s="3" t="s">
        <v>6</v>
      </c>
      <c r="B272" s="2" t="s">
        <v>31</v>
      </c>
      <c r="C272" s="2" t="s">
        <v>18</v>
      </c>
      <c r="D272" s="2">
        <v>7245</v>
      </c>
      <c r="E272" s="2">
        <v>3122</v>
      </c>
      <c r="F272" s="2" t="s">
        <v>12</v>
      </c>
      <c r="G272" s="4" t="str">
        <f>IF('Expense Data'!E272&lt;='Expense Data'!D272,"On Budget","Over Budget")</f>
        <v>On Budget</v>
      </c>
    </row>
    <row r="273" spans="1:7" x14ac:dyDescent="0.3">
      <c r="A273" s="3" t="s">
        <v>33</v>
      </c>
      <c r="B273" s="2" t="s">
        <v>28</v>
      </c>
      <c r="C273" s="2" t="s">
        <v>29</v>
      </c>
      <c r="D273" s="2">
        <v>4638</v>
      </c>
      <c r="E273" s="2">
        <v>11229</v>
      </c>
      <c r="F273" s="2" t="s">
        <v>36</v>
      </c>
      <c r="G273" s="4" t="str">
        <f>IF('Expense Data'!E273&lt;='Expense Data'!D273,"On Budget","Over Budget")</f>
        <v>Over Budget</v>
      </c>
    </row>
    <row r="274" spans="1:7" x14ac:dyDescent="0.3">
      <c r="A274" s="3" t="s">
        <v>6</v>
      </c>
      <c r="B274" s="2" t="s">
        <v>31</v>
      </c>
      <c r="C274" s="2" t="s">
        <v>24</v>
      </c>
      <c r="D274" s="2">
        <v>9234</v>
      </c>
      <c r="E274" s="2">
        <v>1271</v>
      </c>
      <c r="F274" s="2" t="s">
        <v>19</v>
      </c>
      <c r="G274" s="4" t="str">
        <f>IF('Expense Data'!E274&lt;='Expense Data'!D274,"On Budget","Over Budget")</f>
        <v>On Budget</v>
      </c>
    </row>
    <row r="275" spans="1:7" x14ac:dyDescent="0.3">
      <c r="A275" s="3" t="s">
        <v>16</v>
      </c>
      <c r="B275" s="2" t="s">
        <v>31</v>
      </c>
      <c r="C275" s="2" t="s">
        <v>32</v>
      </c>
      <c r="D275" s="2">
        <v>5092</v>
      </c>
      <c r="E275" s="2">
        <v>6390</v>
      </c>
      <c r="F275" s="2" t="s">
        <v>19</v>
      </c>
      <c r="G275" s="4" t="str">
        <f>IF('Expense Data'!E275&lt;='Expense Data'!D275,"On Budget","Over Budget")</f>
        <v>Over Budget</v>
      </c>
    </row>
    <row r="276" spans="1:7" x14ac:dyDescent="0.3">
      <c r="A276" s="3" t="s">
        <v>33</v>
      </c>
      <c r="B276" s="2" t="s">
        <v>23</v>
      </c>
      <c r="C276" s="2" t="s">
        <v>34</v>
      </c>
      <c r="D276" s="2">
        <v>2595</v>
      </c>
      <c r="E276" s="2">
        <v>8706</v>
      </c>
      <c r="F276" s="2" t="s">
        <v>12</v>
      </c>
      <c r="G276" s="4" t="str">
        <f>IF('Expense Data'!E276&lt;='Expense Data'!D276,"On Budget","Over Budget")</f>
        <v>Over Budget</v>
      </c>
    </row>
    <row r="277" spans="1:7" x14ac:dyDescent="0.3">
      <c r="A277" s="3" t="s">
        <v>9</v>
      </c>
      <c r="B277" s="2" t="s">
        <v>35</v>
      </c>
      <c r="C277" s="2" t="s">
        <v>29</v>
      </c>
      <c r="D277" s="2">
        <v>4919</v>
      </c>
      <c r="E277" s="2">
        <v>9472</v>
      </c>
      <c r="F277" s="2" t="s">
        <v>36</v>
      </c>
      <c r="G277" s="4" t="str">
        <f>IF('Expense Data'!E277&lt;='Expense Data'!D277,"On Budget","Over Budget")</f>
        <v>Over Budget</v>
      </c>
    </row>
    <row r="278" spans="1:7" x14ac:dyDescent="0.3">
      <c r="A278" s="3" t="s">
        <v>33</v>
      </c>
      <c r="B278" s="2" t="s">
        <v>25</v>
      </c>
      <c r="C278" s="2" t="s">
        <v>26</v>
      </c>
      <c r="D278" s="2">
        <v>8499</v>
      </c>
      <c r="E278" s="2">
        <v>807</v>
      </c>
      <c r="F278" s="2" t="s">
        <v>15</v>
      </c>
      <c r="G278" s="4" t="str">
        <f>IF('Expense Data'!E278&lt;='Expense Data'!D278,"On Budget","Over Budget")</f>
        <v>On Budget</v>
      </c>
    </row>
    <row r="279" spans="1:7" x14ac:dyDescent="0.3">
      <c r="A279" s="3" t="s">
        <v>13</v>
      </c>
      <c r="B279" s="2" t="s">
        <v>10</v>
      </c>
      <c r="C279" s="2" t="s">
        <v>17</v>
      </c>
      <c r="D279" s="2">
        <v>5447</v>
      </c>
      <c r="E279" s="2">
        <v>843</v>
      </c>
      <c r="F279" s="2" t="s">
        <v>15</v>
      </c>
      <c r="G279" s="4" t="str">
        <f>IF('Expense Data'!E279&lt;='Expense Data'!D279,"On Budget","Over Budget")</f>
        <v>On Budget</v>
      </c>
    </row>
    <row r="280" spans="1:7" x14ac:dyDescent="0.3">
      <c r="A280" s="3" t="s">
        <v>27</v>
      </c>
      <c r="B280" s="2" t="s">
        <v>7</v>
      </c>
      <c r="C280" s="2" t="s">
        <v>32</v>
      </c>
      <c r="D280" s="2">
        <v>7438</v>
      </c>
      <c r="E280" s="2">
        <v>1853</v>
      </c>
      <c r="F280" s="2" t="s">
        <v>30</v>
      </c>
      <c r="G280" s="4" t="str">
        <f>IF('Expense Data'!E280&lt;='Expense Data'!D280,"On Budget","Over Budget")</f>
        <v>On Budget</v>
      </c>
    </row>
    <row r="281" spans="1:7" x14ac:dyDescent="0.3">
      <c r="A281" s="3" t="s">
        <v>6</v>
      </c>
      <c r="B281" s="2" t="s">
        <v>35</v>
      </c>
      <c r="C281" s="2" t="s">
        <v>8</v>
      </c>
      <c r="D281" s="2">
        <v>7425</v>
      </c>
      <c r="E281" s="2">
        <v>5535</v>
      </c>
      <c r="F281" s="2" t="s">
        <v>36</v>
      </c>
      <c r="G281" s="4" t="str">
        <f>IF('Expense Data'!E281&lt;='Expense Data'!D281,"On Budget","Over Budget")</f>
        <v>On Budget</v>
      </c>
    </row>
    <row r="282" spans="1:7" x14ac:dyDescent="0.3">
      <c r="A282" s="3" t="s">
        <v>22</v>
      </c>
      <c r="B282" s="2" t="s">
        <v>7</v>
      </c>
      <c r="C282" s="2" t="s">
        <v>34</v>
      </c>
      <c r="D282" s="2">
        <v>2187</v>
      </c>
      <c r="E282" s="2">
        <v>2127</v>
      </c>
      <c r="F282" s="2" t="s">
        <v>19</v>
      </c>
      <c r="G282" s="4" t="str">
        <f>IF('Expense Data'!E282&lt;='Expense Data'!D282,"On Budget","Over Budget")</f>
        <v>On Budget</v>
      </c>
    </row>
    <row r="283" spans="1:7" x14ac:dyDescent="0.3">
      <c r="A283" s="3" t="s">
        <v>6</v>
      </c>
      <c r="B283" s="2" t="s">
        <v>35</v>
      </c>
      <c r="C283" s="2" t="s">
        <v>11</v>
      </c>
      <c r="D283" s="2">
        <v>7166</v>
      </c>
      <c r="E283" s="2">
        <v>3434</v>
      </c>
      <c r="F283" s="2" t="s">
        <v>12</v>
      </c>
      <c r="G283" s="4" t="str">
        <f>IF('Expense Data'!E283&lt;='Expense Data'!D283,"On Budget","Over Budget")</f>
        <v>On Budget</v>
      </c>
    </row>
    <row r="284" spans="1:7" x14ac:dyDescent="0.3">
      <c r="A284" s="3" t="s">
        <v>27</v>
      </c>
      <c r="B284" s="2" t="s">
        <v>35</v>
      </c>
      <c r="C284" s="2" t="s">
        <v>21</v>
      </c>
      <c r="D284" s="2">
        <v>4089</v>
      </c>
      <c r="E284" s="2">
        <v>7698</v>
      </c>
      <c r="F284" s="2" t="s">
        <v>30</v>
      </c>
      <c r="G284" s="4" t="str">
        <f>IF('Expense Data'!E284&lt;='Expense Data'!D284,"On Budget","Over Budget")</f>
        <v>Over Budget</v>
      </c>
    </row>
    <row r="285" spans="1:7" x14ac:dyDescent="0.3">
      <c r="A285" s="3" t="s">
        <v>27</v>
      </c>
      <c r="B285" s="2" t="s">
        <v>7</v>
      </c>
      <c r="C285" s="2" t="s">
        <v>24</v>
      </c>
      <c r="D285" s="2">
        <v>6958</v>
      </c>
      <c r="E285" s="2">
        <v>5651</v>
      </c>
      <c r="F285" s="2" t="s">
        <v>15</v>
      </c>
      <c r="G285" s="4" t="str">
        <f>IF('Expense Data'!E285&lt;='Expense Data'!D285,"On Budget","Over Budget")</f>
        <v>On Budget</v>
      </c>
    </row>
    <row r="286" spans="1:7" x14ac:dyDescent="0.3">
      <c r="A286" s="3" t="s">
        <v>22</v>
      </c>
      <c r="B286" s="2" t="s">
        <v>7</v>
      </c>
      <c r="C286" s="2" t="s">
        <v>8</v>
      </c>
      <c r="D286" s="2">
        <v>4206</v>
      </c>
      <c r="E286" s="2">
        <v>2616</v>
      </c>
      <c r="F286" s="2" t="s">
        <v>36</v>
      </c>
      <c r="G286" s="4" t="str">
        <f>IF('Expense Data'!E286&lt;='Expense Data'!D286,"On Budget","Over Budget")</f>
        <v>On Budget</v>
      </c>
    </row>
    <row r="287" spans="1:7" x14ac:dyDescent="0.3">
      <c r="A287" s="3" t="s">
        <v>13</v>
      </c>
      <c r="B287" s="2" t="s">
        <v>31</v>
      </c>
      <c r="C287" s="2" t="s">
        <v>26</v>
      </c>
      <c r="D287" s="2">
        <v>7470</v>
      </c>
      <c r="E287" s="2">
        <v>10266</v>
      </c>
      <c r="F287" s="2" t="s">
        <v>12</v>
      </c>
      <c r="G287" s="4" t="str">
        <f>IF('Expense Data'!E287&lt;='Expense Data'!D287,"On Budget","Over Budget")</f>
        <v>Over Budget</v>
      </c>
    </row>
    <row r="288" spans="1:7" x14ac:dyDescent="0.3">
      <c r="A288" s="3" t="s">
        <v>13</v>
      </c>
      <c r="B288" s="2" t="s">
        <v>23</v>
      </c>
      <c r="C288" s="2" t="s">
        <v>18</v>
      </c>
      <c r="D288" s="2">
        <v>3486</v>
      </c>
      <c r="E288" s="2">
        <v>9246</v>
      </c>
      <c r="F288" s="2" t="s">
        <v>19</v>
      </c>
      <c r="G288" s="4" t="str">
        <f>IF('Expense Data'!E288&lt;='Expense Data'!D288,"On Budget","Over Budget")</f>
        <v>Over Budget</v>
      </c>
    </row>
    <row r="289" spans="1:7" x14ac:dyDescent="0.3">
      <c r="A289" s="3" t="s">
        <v>13</v>
      </c>
      <c r="B289" s="2" t="s">
        <v>7</v>
      </c>
      <c r="C289" s="2" t="s">
        <v>20</v>
      </c>
      <c r="D289" s="2">
        <v>3380</v>
      </c>
      <c r="E289" s="2">
        <v>6856</v>
      </c>
      <c r="F289" s="2" t="s">
        <v>12</v>
      </c>
      <c r="G289" s="4" t="str">
        <f>IF('Expense Data'!E289&lt;='Expense Data'!D289,"On Budget","Over Budget")</f>
        <v>Over Budget</v>
      </c>
    </row>
    <row r="290" spans="1:7" x14ac:dyDescent="0.3">
      <c r="A290" s="3" t="s">
        <v>33</v>
      </c>
      <c r="B290" s="2" t="s">
        <v>25</v>
      </c>
      <c r="C290" s="2" t="s">
        <v>14</v>
      </c>
      <c r="D290" s="2">
        <v>7076</v>
      </c>
      <c r="E290" s="2">
        <v>2450</v>
      </c>
      <c r="F290" s="2" t="s">
        <v>19</v>
      </c>
      <c r="G290" s="4" t="str">
        <f>IF('Expense Data'!E290&lt;='Expense Data'!D290,"On Budget","Over Budget")</f>
        <v>On Budget</v>
      </c>
    </row>
    <row r="291" spans="1:7" x14ac:dyDescent="0.3">
      <c r="A291" s="3" t="s">
        <v>16</v>
      </c>
      <c r="B291" s="2" t="s">
        <v>10</v>
      </c>
      <c r="C291" s="2" t="s">
        <v>14</v>
      </c>
      <c r="D291" s="2">
        <v>7142</v>
      </c>
      <c r="E291" s="2">
        <v>6782</v>
      </c>
      <c r="F291" s="2" t="s">
        <v>30</v>
      </c>
      <c r="G291" s="4" t="str">
        <f>IF('Expense Data'!E291&lt;='Expense Data'!D291,"On Budget","Over Budget")</f>
        <v>On Budget</v>
      </c>
    </row>
    <row r="292" spans="1:7" x14ac:dyDescent="0.3">
      <c r="A292" s="3" t="s">
        <v>9</v>
      </c>
      <c r="B292" s="2" t="s">
        <v>25</v>
      </c>
      <c r="C292" s="2" t="s">
        <v>24</v>
      </c>
      <c r="D292" s="2">
        <v>4696</v>
      </c>
      <c r="E292" s="2">
        <v>7403</v>
      </c>
      <c r="F292" s="2" t="s">
        <v>15</v>
      </c>
      <c r="G292" s="4" t="str">
        <f>IF('Expense Data'!E292&lt;='Expense Data'!D292,"On Budget","Over Budget")</f>
        <v>Over Budget</v>
      </c>
    </row>
    <row r="293" spans="1:7" x14ac:dyDescent="0.3">
      <c r="A293" s="3" t="s">
        <v>33</v>
      </c>
      <c r="B293" s="2" t="s">
        <v>10</v>
      </c>
      <c r="C293" s="2" t="s">
        <v>32</v>
      </c>
      <c r="D293" s="2">
        <v>1982</v>
      </c>
      <c r="E293" s="2">
        <v>4862</v>
      </c>
      <c r="F293" s="2" t="s">
        <v>19</v>
      </c>
      <c r="G293" s="4" t="str">
        <f>IF('Expense Data'!E293&lt;='Expense Data'!D293,"On Budget","Over Budget")</f>
        <v>Over Budget</v>
      </c>
    </row>
    <row r="294" spans="1:7" x14ac:dyDescent="0.3">
      <c r="A294" s="3" t="s">
        <v>22</v>
      </c>
      <c r="B294" s="2" t="s">
        <v>23</v>
      </c>
      <c r="C294" s="2" t="s">
        <v>8</v>
      </c>
      <c r="D294" s="2">
        <v>9021</v>
      </c>
      <c r="E294" s="2">
        <v>8953</v>
      </c>
      <c r="F294" s="2" t="s">
        <v>30</v>
      </c>
      <c r="G294" s="4" t="str">
        <f>IF('Expense Data'!E294&lt;='Expense Data'!D294,"On Budget","Over Budget")</f>
        <v>On Budget</v>
      </c>
    </row>
    <row r="295" spans="1:7" x14ac:dyDescent="0.3">
      <c r="A295" s="3" t="s">
        <v>16</v>
      </c>
      <c r="B295" s="2" t="s">
        <v>23</v>
      </c>
      <c r="C295" s="2" t="s">
        <v>8</v>
      </c>
      <c r="D295" s="2">
        <v>9394</v>
      </c>
      <c r="E295" s="2">
        <v>3904</v>
      </c>
      <c r="F295" s="2" t="s">
        <v>12</v>
      </c>
      <c r="G295" s="4" t="str">
        <f>IF('Expense Data'!E295&lt;='Expense Data'!D295,"On Budget","Over Budget")</f>
        <v>On Budget</v>
      </c>
    </row>
    <row r="296" spans="1:7" x14ac:dyDescent="0.3">
      <c r="A296" s="3" t="s">
        <v>9</v>
      </c>
      <c r="B296" s="2" t="s">
        <v>23</v>
      </c>
      <c r="C296" s="2" t="s">
        <v>8</v>
      </c>
      <c r="D296" s="2">
        <v>5689</v>
      </c>
      <c r="E296" s="2">
        <v>5491</v>
      </c>
      <c r="F296" s="2" t="s">
        <v>15</v>
      </c>
      <c r="G296" s="4" t="str">
        <f>IF('Expense Data'!E296&lt;='Expense Data'!D296,"On Budget","Over Budget")</f>
        <v>On Budget</v>
      </c>
    </row>
    <row r="297" spans="1:7" x14ac:dyDescent="0.3">
      <c r="A297" s="3" t="s">
        <v>27</v>
      </c>
      <c r="B297" s="2" t="s">
        <v>7</v>
      </c>
      <c r="C297" s="2" t="s">
        <v>17</v>
      </c>
      <c r="D297" s="2">
        <v>9149</v>
      </c>
      <c r="E297" s="2">
        <v>6484</v>
      </c>
      <c r="F297" s="2" t="s">
        <v>36</v>
      </c>
      <c r="G297" s="4" t="str">
        <f>IF('Expense Data'!E297&lt;='Expense Data'!D297,"On Budget","Over Budget")</f>
        <v>On Budget</v>
      </c>
    </row>
    <row r="298" spans="1:7" x14ac:dyDescent="0.3">
      <c r="A298" s="3" t="s">
        <v>22</v>
      </c>
      <c r="B298" s="2" t="s">
        <v>7</v>
      </c>
      <c r="C298" s="2" t="s">
        <v>17</v>
      </c>
      <c r="D298" s="2">
        <v>3361</v>
      </c>
      <c r="E298" s="2">
        <v>8670</v>
      </c>
      <c r="F298" s="2" t="s">
        <v>19</v>
      </c>
      <c r="G298" s="4" t="str">
        <f>IF('Expense Data'!E298&lt;='Expense Data'!D298,"On Budget","Over Budget")</f>
        <v>Over Budget</v>
      </c>
    </row>
    <row r="299" spans="1:7" x14ac:dyDescent="0.3">
      <c r="A299" s="3" t="s">
        <v>9</v>
      </c>
      <c r="B299" s="2" t="s">
        <v>23</v>
      </c>
      <c r="C299" s="2" t="s">
        <v>14</v>
      </c>
      <c r="D299" s="2">
        <v>5020</v>
      </c>
      <c r="E299" s="2">
        <v>1318</v>
      </c>
      <c r="F299" s="2" t="s">
        <v>36</v>
      </c>
      <c r="G299" s="4" t="str">
        <f>IF('Expense Data'!E299&lt;='Expense Data'!D299,"On Budget","Over Budget")</f>
        <v>On Budget</v>
      </c>
    </row>
    <row r="300" spans="1:7" x14ac:dyDescent="0.3">
      <c r="A300" s="3" t="s">
        <v>16</v>
      </c>
      <c r="B300" s="2" t="s">
        <v>35</v>
      </c>
      <c r="C300" s="2" t="s">
        <v>11</v>
      </c>
      <c r="D300" s="2">
        <v>1954</v>
      </c>
      <c r="E300" s="2">
        <v>11251</v>
      </c>
      <c r="F300" s="2" t="s">
        <v>12</v>
      </c>
      <c r="G300" s="4" t="str">
        <f>IF('Expense Data'!E300&lt;='Expense Data'!D300,"On Budget","Over Budget")</f>
        <v>Over Budget</v>
      </c>
    </row>
    <row r="301" spans="1:7" x14ac:dyDescent="0.3">
      <c r="A301" s="3" t="s">
        <v>16</v>
      </c>
      <c r="B301" s="2" t="s">
        <v>35</v>
      </c>
      <c r="C301" s="2" t="s">
        <v>20</v>
      </c>
      <c r="D301" s="2">
        <v>6913</v>
      </c>
      <c r="E301" s="2">
        <v>3025</v>
      </c>
      <c r="F301" s="2" t="s">
        <v>15</v>
      </c>
      <c r="G301" s="4" t="str">
        <f>IF('Expense Data'!E301&lt;='Expense Data'!D301,"On Budget","Over Budget")</f>
        <v>On Budget</v>
      </c>
    </row>
    <row r="302" spans="1:7" x14ac:dyDescent="0.3">
      <c r="A302" s="3" t="s">
        <v>6</v>
      </c>
      <c r="B302" s="2" t="s">
        <v>10</v>
      </c>
      <c r="C302" s="2" t="s">
        <v>11</v>
      </c>
      <c r="D302" s="2">
        <v>6517</v>
      </c>
      <c r="E302" s="2">
        <v>11194</v>
      </c>
      <c r="F302" s="2" t="s">
        <v>12</v>
      </c>
      <c r="G302" s="4" t="str">
        <f>IF('Expense Data'!E302&lt;='Expense Data'!D302,"On Budget","Over Budget")</f>
        <v>Over Budget</v>
      </c>
    </row>
    <row r="303" spans="1:7" x14ac:dyDescent="0.3">
      <c r="A303" s="3" t="s">
        <v>13</v>
      </c>
      <c r="B303" s="2" t="s">
        <v>23</v>
      </c>
      <c r="C303" s="2" t="s">
        <v>17</v>
      </c>
      <c r="D303" s="2">
        <v>1265</v>
      </c>
      <c r="E303" s="2">
        <v>6688</v>
      </c>
      <c r="F303" s="2" t="s">
        <v>15</v>
      </c>
      <c r="G303" s="4" t="str">
        <f>IF('Expense Data'!E303&lt;='Expense Data'!D303,"On Budget","Over Budget")</f>
        <v>Over Budget</v>
      </c>
    </row>
    <row r="304" spans="1:7" x14ac:dyDescent="0.3">
      <c r="A304" s="3" t="s">
        <v>33</v>
      </c>
      <c r="B304" s="2" t="s">
        <v>25</v>
      </c>
      <c r="C304" s="2" t="s">
        <v>29</v>
      </c>
      <c r="D304" s="2">
        <v>8440</v>
      </c>
      <c r="E304" s="2">
        <v>1391</v>
      </c>
      <c r="F304" s="2" t="s">
        <v>19</v>
      </c>
      <c r="G304" s="4" t="str">
        <f>IF('Expense Data'!E304&lt;='Expense Data'!D304,"On Budget","Over Budget")</f>
        <v>On Budget</v>
      </c>
    </row>
    <row r="305" spans="1:7" x14ac:dyDescent="0.3">
      <c r="A305" s="3" t="s">
        <v>16</v>
      </c>
      <c r="B305" s="2" t="s">
        <v>23</v>
      </c>
      <c r="C305" s="2" t="s">
        <v>29</v>
      </c>
      <c r="D305" s="2">
        <v>4695</v>
      </c>
      <c r="E305" s="2">
        <v>5418</v>
      </c>
      <c r="F305" s="2" t="s">
        <v>19</v>
      </c>
      <c r="G305" s="4" t="str">
        <f>IF('Expense Data'!E305&lt;='Expense Data'!D305,"On Budget","Over Budget")</f>
        <v>Over Budget</v>
      </c>
    </row>
    <row r="306" spans="1:7" x14ac:dyDescent="0.3">
      <c r="A306" s="3" t="s">
        <v>9</v>
      </c>
      <c r="B306" s="2" t="s">
        <v>31</v>
      </c>
      <c r="C306" s="2" t="s">
        <v>8</v>
      </c>
      <c r="D306" s="2">
        <v>1201</v>
      </c>
      <c r="E306" s="2">
        <v>10293</v>
      </c>
      <c r="F306" s="2" t="s">
        <v>30</v>
      </c>
      <c r="G306" s="4" t="str">
        <f>IF('Expense Data'!E306&lt;='Expense Data'!D306,"On Budget","Over Budget")</f>
        <v>Over Budget</v>
      </c>
    </row>
    <row r="307" spans="1:7" x14ac:dyDescent="0.3">
      <c r="A307" s="3" t="s">
        <v>33</v>
      </c>
      <c r="B307" s="2" t="s">
        <v>35</v>
      </c>
      <c r="C307" s="2" t="s">
        <v>32</v>
      </c>
      <c r="D307" s="2">
        <v>6342</v>
      </c>
      <c r="E307" s="2">
        <v>8292</v>
      </c>
      <c r="F307" s="2" t="s">
        <v>19</v>
      </c>
      <c r="G307" s="4" t="str">
        <f>IF('Expense Data'!E307&lt;='Expense Data'!D307,"On Budget","Over Budget")</f>
        <v>Over Budget</v>
      </c>
    </row>
    <row r="308" spans="1:7" x14ac:dyDescent="0.3">
      <c r="A308" s="3" t="s">
        <v>13</v>
      </c>
      <c r="B308" s="2" t="s">
        <v>25</v>
      </c>
      <c r="C308" s="2" t="s">
        <v>26</v>
      </c>
      <c r="D308" s="2">
        <v>2290</v>
      </c>
      <c r="E308" s="2">
        <v>5281</v>
      </c>
      <c r="F308" s="2" t="s">
        <v>36</v>
      </c>
      <c r="G308" s="4" t="str">
        <f>IF('Expense Data'!E308&lt;='Expense Data'!D308,"On Budget","Over Budget")</f>
        <v>Over Budget</v>
      </c>
    </row>
    <row r="309" spans="1:7" x14ac:dyDescent="0.3">
      <c r="A309" s="3" t="s">
        <v>13</v>
      </c>
      <c r="B309" s="2" t="s">
        <v>7</v>
      </c>
      <c r="C309" s="2" t="s">
        <v>26</v>
      </c>
      <c r="D309" s="2">
        <v>2009</v>
      </c>
      <c r="E309" s="2">
        <v>2316</v>
      </c>
      <c r="F309" s="2" t="s">
        <v>12</v>
      </c>
      <c r="G309" s="4" t="str">
        <f>IF('Expense Data'!E309&lt;='Expense Data'!D309,"On Budget","Over Budget")</f>
        <v>Over Budget</v>
      </c>
    </row>
    <row r="310" spans="1:7" x14ac:dyDescent="0.3">
      <c r="A310" s="3" t="s">
        <v>6</v>
      </c>
      <c r="B310" s="2" t="s">
        <v>10</v>
      </c>
      <c r="C310" s="2" t="s">
        <v>20</v>
      </c>
      <c r="D310" s="2">
        <v>1128</v>
      </c>
      <c r="E310" s="2">
        <v>8014</v>
      </c>
      <c r="F310" s="2" t="s">
        <v>15</v>
      </c>
      <c r="G310" s="4" t="str">
        <f>IF('Expense Data'!E310&lt;='Expense Data'!D310,"On Budget","Over Budget")</f>
        <v>Over Budget</v>
      </c>
    </row>
    <row r="311" spans="1:7" x14ac:dyDescent="0.3">
      <c r="A311" s="3" t="s">
        <v>16</v>
      </c>
      <c r="B311" s="2" t="s">
        <v>35</v>
      </c>
      <c r="C311" s="2" t="s">
        <v>18</v>
      </c>
      <c r="D311" s="2">
        <v>6923</v>
      </c>
      <c r="E311" s="2">
        <v>11530</v>
      </c>
      <c r="F311" s="2" t="s">
        <v>15</v>
      </c>
      <c r="G311" s="4" t="str">
        <f>IF('Expense Data'!E311&lt;='Expense Data'!D311,"On Budget","Over Budget")</f>
        <v>Over Budget</v>
      </c>
    </row>
    <row r="312" spans="1:7" x14ac:dyDescent="0.3">
      <c r="A312" s="3" t="s">
        <v>6</v>
      </c>
      <c r="B312" s="2" t="s">
        <v>7</v>
      </c>
      <c r="C312" s="2" t="s">
        <v>17</v>
      </c>
      <c r="D312" s="2">
        <v>5022</v>
      </c>
      <c r="E312" s="2">
        <v>4266</v>
      </c>
      <c r="F312" s="2" t="s">
        <v>30</v>
      </c>
      <c r="G312" s="4" t="str">
        <f>IF('Expense Data'!E312&lt;='Expense Data'!D312,"On Budget","Over Budget")</f>
        <v>On Budget</v>
      </c>
    </row>
    <row r="313" spans="1:7" x14ac:dyDescent="0.3">
      <c r="A313" s="3" t="s">
        <v>22</v>
      </c>
      <c r="B313" s="2" t="s">
        <v>23</v>
      </c>
      <c r="C313" s="2" t="s">
        <v>17</v>
      </c>
      <c r="D313" s="2">
        <v>6466</v>
      </c>
      <c r="E313" s="2">
        <v>3570</v>
      </c>
      <c r="F313" s="2" t="s">
        <v>15</v>
      </c>
      <c r="G313" s="4" t="str">
        <f>IF('Expense Data'!E313&lt;='Expense Data'!D313,"On Budget","Over Budget")</f>
        <v>On Budget</v>
      </c>
    </row>
    <row r="314" spans="1:7" x14ac:dyDescent="0.3">
      <c r="A314" s="3" t="s">
        <v>9</v>
      </c>
      <c r="B314" s="2" t="s">
        <v>28</v>
      </c>
      <c r="C314" s="2" t="s">
        <v>29</v>
      </c>
      <c r="D314" s="2">
        <v>4810</v>
      </c>
      <c r="E314" s="2">
        <v>5459</v>
      </c>
      <c r="F314" s="2" t="s">
        <v>15</v>
      </c>
      <c r="G314" s="4" t="str">
        <f>IF('Expense Data'!E314&lt;='Expense Data'!D314,"On Budget","Over Budget")</f>
        <v>Over Budget</v>
      </c>
    </row>
    <row r="315" spans="1:7" x14ac:dyDescent="0.3">
      <c r="A315" s="3" t="s">
        <v>27</v>
      </c>
      <c r="B315" s="2" t="s">
        <v>23</v>
      </c>
      <c r="C315" s="2" t="s">
        <v>20</v>
      </c>
      <c r="D315" s="2">
        <v>7504</v>
      </c>
      <c r="E315" s="2">
        <v>1754</v>
      </c>
      <c r="F315" s="2" t="s">
        <v>30</v>
      </c>
      <c r="G315" s="4" t="str">
        <f>IF('Expense Data'!E315&lt;='Expense Data'!D315,"On Budget","Over Budget")</f>
        <v>On Budget</v>
      </c>
    </row>
    <row r="316" spans="1:7" x14ac:dyDescent="0.3">
      <c r="A316" s="3" t="s">
        <v>27</v>
      </c>
      <c r="B316" s="2" t="s">
        <v>35</v>
      </c>
      <c r="C316" s="2" t="s">
        <v>24</v>
      </c>
      <c r="D316" s="2">
        <v>5453</v>
      </c>
      <c r="E316" s="2">
        <v>10878</v>
      </c>
      <c r="F316" s="2" t="s">
        <v>19</v>
      </c>
      <c r="G316" s="4" t="str">
        <f>IF('Expense Data'!E316&lt;='Expense Data'!D316,"On Budget","Over Budget")</f>
        <v>Over Budget</v>
      </c>
    </row>
    <row r="317" spans="1:7" x14ac:dyDescent="0.3">
      <c r="A317" s="3" t="s">
        <v>22</v>
      </c>
      <c r="B317" s="2" t="s">
        <v>23</v>
      </c>
      <c r="C317" s="2" t="s">
        <v>29</v>
      </c>
      <c r="D317" s="2">
        <v>5260</v>
      </c>
      <c r="E317" s="2">
        <v>6088</v>
      </c>
      <c r="F317" s="2" t="s">
        <v>19</v>
      </c>
      <c r="G317" s="4" t="str">
        <f>IF('Expense Data'!E317&lt;='Expense Data'!D317,"On Budget","Over Budget")</f>
        <v>Over Budget</v>
      </c>
    </row>
    <row r="318" spans="1:7" x14ac:dyDescent="0.3">
      <c r="A318" s="3" t="s">
        <v>6</v>
      </c>
      <c r="B318" s="2" t="s">
        <v>7</v>
      </c>
      <c r="C318" s="2" t="s">
        <v>14</v>
      </c>
      <c r="D318" s="2">
        <v>2631</v>
      </c>
      <c r="E318" s="2">
        <v>2807</v>
      </c>
      <c r="F318" s="2" t="s">
        <v>36</v>
      </c>
      <c r="G318" s="4" t="str">
        <f>IF('Expense Data'!E318&lt;='Expense Data'!D318,"On Budget","Over Budget")</f>
        <v>Over Budget</v>
      </c>
    </row>
    <row r="319" spans="1:7" x14ac:dyDescent="0.3">
      <c r="A319" s="3" t="s">
        <v>16</v>
      </c>
      <c r="B319" s="2" t="s">
        <v>23</v>
      </c>
      <c r="C319" s="2" t="s">
        <v>18</v>
      </c>
      <c r="D319" s="2">
        <v>9503</v>
      </c>
      <c r="E319" s="2">
        <v>9241</v>
      </c>
      <c r="F319" s="2" t="s">
        <v>30</v>
      </c>
      <c r="G319" s="4" t="str">
        <f>IF('Expense Data'!E319&lt;='Expense Data'!D319,"On Budget","Over Budget")</f>
        <v>On Budget</v>
      </c>
    </row>
    <row r="320" spans="1:7" x14ac:dyDescent="0.3">
      <c r="A320" s="3" t="s">
        <v>9</v>
      </c>
      <c r="B320" s="2" t="s">
        <v>28</v>
      </c>
      <c r="C320" s="2" t="s">
        <v>8</v>
      </c>
      <c r="D320" s="2">
        <v>4136</v>
      </c>
      <c r="E320" s="2">
        <v>4621</v>
      </c>
      <c r="F320" s="2" t="s">
        <v>19</v>
      </c>
      <c r="G320" s="4" t="str">
        <f>IF('Expense Data'!E320&lt;='Expense Data'!D320,"On Budget","Over Budget")</f>
        <v>Over Budget</v>
      </c>
    </row>
    <row r="321" spans="1:7" x14ac:dyDescent="0.3">
      <c r="A321" s="3" t="s">
        <v>22</v>
      </c>
      <c r="B321" s="2" t="s">
        <v>10</v>
      </c>
      <c r="C321" s="2" t="s">
        <v>17</v>
      </c>
      <c r="D321" s="2">
        <v>2551</v>
      </c>
      <c r="E321" s="2">
        <v>1844</v>
      </c>
      <c r="F321" s="2" t="s">
        <v>12</v>
      </c>
      <c r="G321" s="4" t="str">
        <f>IF('Expense Data'!E321&lt;='Expense Data'!D321,"On Budget","Over Budget")</f>
        <v>On Budget</v>
      </c>
    </row>
    <row r="322" spans="1:7" x14ac:dyDescent="0.3">
      <c r="A322" s="3" t="s">
        <v>6</v>
      </c>
      <c r="B322" s="2" t="s">
        <v>10</v>
      </c>
      <c r="C322" s="2" t="s">
        <v>17</v>
      </c>
      <c r="D322" s="2">
        <v>8398</v>
      </c>
      <c r="E322" s="2">
        <v>5952</v>
      </c>
      <c r="F322" s="2" t="s">
        <v>30</v>
      </c>
      <c r="G322" s="4" t="str">
        <f>IF('Expense Data'!E322&lt;='Expense Data'!D322,"On Budget","Over Budget")</f>
        <v>On Budget</v>
      </c>
    </row>
    <row r="323" spans="1:7" x14ac:dyDescent="0.3">
      <c r="A323" s="3" t="s">
        <v>13</v>
      </c>
      <c r="B323" s="2" t="s">
        <v>35</v>
      </c>
      <c r="C323" s="2" t="s">
        <v>24</v>
      </c>
      <c r="D323" s="2">
        <v>2378</v>
      </c>
      <c r="E323" s="2">
        <v>6606</v>
      </c>
      <c r="F323" s="2" t="s">
        <v>12</v>
      </c>
      <c r="G323" s="4" t="str">
        <f>IF('Expense Data'!E323&lt;='Expense Data'!D323,"On Budget","Over Budget")</f>
        <v>Over Budget</v>
      </c>
    </row>
    <row r="324" spans="1:7" x14ac:dyDescent="0.3">
      <c r="A324" s="3" t="s">
        <v>9</v>
      </c>
      <c r="B324" s="2" t="s">
        <v>31</v>
      </c>
      <c r="C324" s="2" t="s">
        <v>18</v>
      </c>
      <c r="D324" s="2">
        <v>6800</v>
      </c>
      <c r="E324" s="2">
        <v>3201</v>
      </c>
      <c r="F324" s="2" t="s">
        <v>12</v>
      </c>
      <c r="G324" s="4" t="str">
        <f>IF('Expense Data'!E324&lt;='Expense Data'!D324,"On Budget","Over Budget")</f>
        <v>On Budget</v>
      </c>
    </row>
    <row r="325" spans="1:7" x14ac:dyDescent="0.3">
      <c r="A325" s="3" t="s">
        <v>13</v>
      </c>
      <c r="B325" s="2" t="s">
        <v>25</v>
      </c>
      <c r="C325" s="2" t="s">
        <v>26</v>
      </c>
      <c r="D325" s="2">
        <v>6741</v>
      </c>
      <c r="E325" s="2">
        <v>9212</v>
      </c>
      <c r="F325" s="2" t="s">
        <v>19</v>
      </c>
      <c r="G325" s="4" t="str">
        <f>IF('Expense Data'!E325&lt;='Expense Data'!D325,"On Budget","Over Budget")</f>
        <v>Over Budget</v>
      </c>
    </row>
    <row r="326" spans="1:7" x14ac:dyDescent="0.3">
      <c r="A326" s="3" t="s">
        <v>22</v>
      </c>
      <c r="B326" s="2" t="s">
        <v>25</v>
      </c>
      <c r="C326" s="2" t="s">
        <v>24</v>
      </c>
      <c r="D326" s="2">
        <v>4869</v>
      </c>
      <c r="E326" s="2">
        <v>1795</v>
      </c>
      <c r="F326" s="2" t="s">
        <v>30</v>
      </c>
      <c r="G326" s="4" t="str">
        <f>IF('Expense Data'!E326&lt;='Expense Data'!D326,"On Budget","Over Budget")</f>
        <v>On Budget</v>
      </c>
    </row>
    <row r="327" spans="1:7" x14ac:dyDescent="0.3">
      <c r="A327" s="3" t="s">
        <v>33</v>
      </c>
      <c r="B327" s="2" t="s">
        <v>7</v>
      </c>
      <c r="C327" s="2" t="s">
        <v>8</v>
      </c>
      <c r="D327" s="2">
        <v>7794</v>
      </c>
      <c r="E327" s="2">
        <v>10328</v>
      </c>
      <c r="F327" s="2" t="s">
        <v>12</v>
      </c>
      <c r="G327" s="4" t="str">
        <f>IF('Expense Data'!E327&lt;='Expense Data'!D327,"On Budget","Over Budget")</f>
        <v>Over Budget</v>
      </c>
    </row>
    <row r="328" spans="1:7" x14ac:dyDescent="0.3">
      <c r="A328" s="3" t="s">
        <v>27</v>
      </c>
      <c r="B328" s="2" t="s">
        <v>10</v>
      </c>
      <c r="C328" s="2" t="s">
        <v>18</v>
      </c>
      <c r="D328" s="2">
        <v>6725</v>
      </c>
      <c r="E328" s="2">
        <v>11686</v>
      </c>
      <c r="F328" s="2" t="s">
        <v>12</v>
      </c>
      <c r="G328" s="4" t="str">
        <f>IF('Expense Data'!E328&lt;='Expense Data'!D328,"On Budget","Over Budget")</f>
        <v>Over Budget</v>
      </c>
    </row>
    <row r="329" spans="1:7" x14ac:dyDescent="0.3">
      <c r="A329" s="3" t="s">
        <v>6</v>
      </c>
      <c r="B329" s="2" t="s">
        <v>25</v>
      </c>
      <c r="C329" s="2" t="s">
        <v>18</v>
      </c>
      <c r="D329" s="2">
        <v>7253</v>
      </c>
      <c r="E329" s="2">
        <v>5984</v>
      </c>
      <c r="F329" s="2" t="s">
        <v>12</v>
      </c>
      <c r="G329" s="4" t="str">
        <f>IF('Expense Data'!E329&lt;='Expense Data'!D329,"On Budget","Over Budget")</f>
        <v>On Budget</v>
      </c>
    </row>
    <row r="330" spans="1:7" x14ac:dyDescent="0.3">
      <c r="A330" s="3" t="s">
        <v>6</v>
      </c>
      <c r="B330" s="2" t="s">
        <v>23</v>
      </c>
      <c r="C330" s="2" t="s">
        <v>8</v>
      </c>
      <c r="D330" s="2">
        <v>4402</v>
      </c>
      <c r="E330" s="2">
        <v>11794</v>
      </c>
      <c r="F330" s="2" t="s">
        <v>30</v>
      </c>
      <c r="G330" s="4" t="str">
        <f>IF('Expense Data'!E330&lt;='Expense Data'!D330,"On Budget","Over Budget")</f>
        <v>Over Budget</v>
      </c>
    </row>
    <row r="331" spans="1:7" x14ac:dyDescent="0.3">
      <c r="A331" s="3" t="s">
        <v>6</v>
      </c>
      <c r="B331" s="2" t="s">
        <v>35</v>
      </c>
      <c r="C331" s="2" t="s">
        <v>14</v>
      </c>
      <c r="D331" s="2">
        <v>5653</v>
      </c>
      <c r="E331" s="2">
        <v>11818</v>
      </c>
      <c r="F331" s="2" t="s">
        <v>12</v>
      </c>
      <c r="G331" s="4" t="str">
        <f>IF('Expense Data'!E331&lt;='Expense Data'!D331,"On Budget","Over Budget")</f>
        <v>Over Budget</v>
      </c>
    </row>
    <row r="332" spans="1:7" x14ac:dyDescent="0.3">
      <c r="A332" s="3" t="s">
        <v>6</v>
      </c>
      <c r="B332" s="2" t="s">
        <v>10</v>
      </c>
      <c r="C332" s="2" t="s">
        <v>32</v>
      </c>
      <c r="D332" s="2">
        <v>4482</v>
      </c>
      <c r="E332" s="2">
        <v>7588</v>
      </c>
      <c r="F332" s="2" t="s">
        <v>12</v>
      </c>
      <c r="G332" s="4" t="str">
        <f>IF('Expense Data'!E332&lt;='Expense Data'!D332,"On Budget","Over Budget")</f>
        <v>Over Budget</v>
      </c>
    </row>
    <row r="333" spans="1:7" x14ac:dyDescent="0.3">
      <c r="A333" s="3" t="s">
        <v>16</v>
      </c>
      <c r="B333" s="2" t="s">
        <v>25</v>
      </c>
      <c r="C333" s="2" t="s">
        <v>24</v>
      </c>
      <c r="D333" s="2">
        <v>7993</v>
      </c>
      <c r="E333" s="2">
        <v>10028</v>
      </c>
      <c r="F333" s="2" t="s">
        <v>12</v>
      </c>
      <c r="G333" s="4" t="str">
        <f>IF('Expense Data'!E333&lt;='Expense Data'!D333,"On Budget","Over Budget")</f>
        <v>Over Budget</v>
      </c>
    </row>
    <row r="334" spans="1:7" x14ac:dyDescent="0.3">
      <c r="A334" s="3" t="s">
        <v>9</v>
      </c>
      <c r="B334" s="2" t="s">
        <v>28</v>
      </c>
      <c r="C334" s="2" t="s">
        <v>21</v>
      </c>
      <c r="D334" s="2">
        <v>7143</v>
      </c>
      <c r="E334" s="2">
        <v>3972</v>
      </c>
      <c r="F334" s="2" t="s">
        <v>12</v>
      </c>
      <c r="G334" s="4" t="str">
        <f>IF('Expense Data'!E334&lt;='Expense Data'!D334,"On Budget","Over Budget")</f>
        <v>On Budget</v>
      </c>
    </row>
    <row r="335" spans="1:7" x14ac:dyDescent="0.3">
      <c r="A335" s="3" t="s">
        <v>27</v>
      </c>
      <c r="B335" s="2" t="s">
        <v>35</v>
      </c>
      <c r="C335" s="2" t="s">
        <v>14</v>
      </c>
      <c r="D335" s="2">
        <v>7206</v>
      </c>
      <c r="E335" s="2">
        <v>1799</v>
      </c>
      <c r="F335" s="2" t="s">
        <v>19</v>
      </c>
      <c r="G335" s="4" t="str">
        <f>IF('Expense Data'!E335&lt;='Expense Data'!D335,"On Budget","Over Budget")</f>
        <v>On Budget</v>
      </c>
    </row>
    <row r="336" spans="1:7" x14ac:dyDescent="0.3">
      <c r="A336" s="3" t="s">
        <v>22</v>
      </c>
      <c r="B336" s="2" t="s">
        <v>7</v>
      </c>
      <c r="C336" s="2" t="s">
        <v>8</v>
      </c>
      <c r="D336" s="2">
        <v>3716</v>
      </c>
      <c r="E336" s="2">
        <v>2980</v>
      </c>
      <c r="F336" s="2" t="s">
        <v>12</v>
      </c>
      <c r="G336" s="4" t="str">
        <f>IF('Expense Data'!E336&lt;='Expense Data'!D336,"On Budget","Over Budget")</f>
        <v>On Budget</v>
      </c>
    </row>
    <row r="337" spans="1:7" x14ac:dyDescent="0.3">
      <c r="A337" s="3" t="s">
        <v>33</v>
      </c>
      <c r="B337" s="2" t="s">
        <v>10</v>
      </c>
      <c r="C337" s="2" t="s">
        <v>32</v>
      </c>
      <c r="D337" s="2">
        <v>1505</v>
      </c>
      <c r="E337" s="2">
        <v>9345</v>
      </c>
      <c r="F337" s="2" t="s">
        <v>30</v>
      </c>
      <c r="G337" s="4" t="str">
        <f>IF('Expense Data'!E337&lt;='Expense Data'!D337,"On Budget","Over Budget")</f>
        <v>Over Budget</v>
      </c>
    </row>
    <row r="338" spans="1:7" x14ac:dyDescent="0.3">
      <c r="A338" s="3" t="s">
        <v>27</v>
      </c>
      <c r="B338" s="2" t="s">
        <v>28</v>
      </c>
      <c r="C338" s="2" t="s">
        <v>14</v>
      </c>
      <c r="D338" s="2">
        <v>9273</v>
      </c>
      <c r="E338" s="2">
        <v>8479</v>
      </c>
      <c r="F338" s="2" t="s">
        <v>19</v>
      </c>
      <c r="G338" s="4" t="str">
        <f>IF('Expense Data'!E338&lt;='Expense Data'!D338,"On Budget","Over Budget")</f>
        <v>On Budget</v>
      </c>
    </row>
    <row r="339" spans="1:7" x14ac:dyDescent="0.3">
      <c r="A339" s="3" t="s">
        <v>9</v>
      </c>
      <c r="B339" s="2" t="s">
        <v>28</v>
      </c>
      <c r="C339" s="2" t="s">
        <v>18</v>
      </c>
      <c r="D339" s="2">
        <v>4778</v>
      </c>
      <c r="E339" s="2">
        <v>4775</v>
      </c>
      <c r="F339" s="2" t="s">
        <v>15</v>
      </c>
      <c r="G339" s="4" t="str">
        <f>IF('Expense Data'!E339&lt;='Expense Data'!D339,"On Budget","Over Budget")</f>
        <v>On Budget</v>
      </c>
    </row>
    <row r="340" spans="1:7" x14ac:dyDescent="0.3">
      <c r="A340" s="3" t="s">
        <v>13</v>
      </c>
      <c r="B340" s="2" t="s">
        <v>25</v>
      </c>
      <c r="C340" s="2" t="s">
        <v>29</v>
      </c>
      <c r="D340" s="2">
        <v>7568</v>
      </c>
      <c r="E340" s="2">
        <v>10284</v>
      </c>
      <c r="F340" s="2" t="s">
        <v>12</v>
      </c>
      <c r="G340" s="4" t="str">
        <f>IF('Expense Data'!E340&lt;='Expense Data'!D340,"On Budget","Over Budget")</f>
        <v>Over Budget</v>
      </c>
    </row>
    <row r="341" spans="1:7" x14ac:dyDescent="0.3">
      <c r="A341" s="3" t="s">
        <v>27</v>
      </c>
      <c r="B341" s="2" t="s">
        <v>10</v>
      </c>
      <c r="C341" s="2" t="s">
        <v>14</v>
      </c>
      <c r="D341" s="2">
        <v>2025</v>
      </c>
      <c r="E341" s="2">
        <v>2472</v>
      </c>
      <c r="F341" s="2" t="s">
        <v>30</v>
      </c>
      <c r="G341" s="4" t="str">
        <f>IF('Expense Data'!E341&lt;='Expense Data'!D341,"On Budget","Over Budget")</f>
        <v>Over Budget</v>
      </c>
    </row>
    <row r="342" spans="1:7" x14ac:dyDescent="0.3">
      <c r="A342" s="3" t="s">
        <v>33</v>
      </c>
      <c r="B342" s="2" t="s">
        <v>35</v>
      </c>
      <c r="C342" s="2" t="s">
        <v>14</v>
      </c>
      <c r="D342" s="2">
        <v>2779</v>
      </c>
      <c r="E342" s="2">
        <v>10511</v>
      </c>
      <c r="F342" s="2" t="s">
        <v>15</v>
      </c>
      <c r="G342" s="4" t="str">
        <f>IF('Expense Data'!E342&lt;='Expense Data'!D342,"On Budget","Over Budget")</f>
        <v>Over Budget</v>
      </c>
    </row>
    <row r="343" spans="1:7" x14ac:dyDescent="0.3">
      <c r="A343" s="3" t="s">
        <v>33</v>
      </c>
      <c r="B343" s="2" t="s">
        <v>23</v>
      </c>
      <c r="C343" s="2" t="s">
        <v>24</v>
      </c>
      <c r="D343" s="2">
        <v>3275</v>
      </c>
      <c r="E343" s="2">
        <v>4780</v>
      </c>
      <c r="F343" s="2" t="s">
        <v>19</v>
      </c>
      <c r="G343" s="4" t="str">
        <f>IF('Expense Data'!E343&lt;='Expense Data'!D343,"On Budget","Over Budget")</f>
        <v>Over Budget</v>
      </c>
    </row>
    <row r="344" spans="1:7" x14ac:dyDescent="0.3">
      <c r="A344" s="3" t="s">
        <v>33</v>
      </c>
      <c r="B344" s="2" t="s">
        <v>31</v>
      </c>
      <c r="C344" s="2" t="s">
        <v>29</v>
      </c>
      <c r="D344" s="2">
        <v>8907</v>
      </c>
      <c r="E344" s="2">
        <v>9356</v>
      </c>
      <c r="F344" s="2" t="s">
        <v>15</v>
      </c>
      <c r="G344" s="4" t="str">
        <f>IF('Expense Data'!E344&lt;='Expense Data'!D344,"On Budget","Over Budget")</f>
        <v>Over Budget</v>
      </c>
    </row>
    <row r="345" spans="1:7" x14ac:dyDescent="0.3">
      <c r="A345" s="3" t="s">
        <v>13</v>
      </c>
      <c r="B345" s="2" t="s">
        <v>25</v>
      </c>
      <c r="C345" s="2" t="s">
        <v>14</v>
      </c>
      <c r="D345" s="2">
        <v>1223</v>
      </c>
      <c r="E345" s="2">
        <v>6966</v>
      </c>
      <c r="F345" s="2" t="s">
        <v>12</v>
      </c>
      <c r="G345" s="4" t="str">
        <f>IF('Expense Data'!E345&lt;='Expense Data'!D345,"On Budget","Over Budget")</f>
        <v>Over Budget</v>
      </c>
    </row>
    <row r="346" spans="1:7" x14ac:dyDescent="0.3">
      <c r="A346" s="3" t="s">
        <v>33</v>
      </c>
      <c r="B346" s="2" t="s">
        <v>35</v>
      </c>
      <c r="C346" s="2" t="s">
        <v>8</v>
      </c>
      <c r="D346" s="2">
        <v>6720</v>
      </c>
      <c r="E346" s="2">
        <v>5535</v>
      </c>
      <c r="F346" s="2" t="s">
        <v>15</v>
      </c>
      <c r="G346" s="4" t="str">
        <f>IF('Expense Data'!E346&lt;='Expense Data'!D346,"On Budget","Over Budget")</f>
        <v>On Budget</v>
      </c>
    </row>
    <row r="347" spans="1:7" x14ac:dyDescent="0.3">
      <c r="A347" s="3" t="s">
        <v>22</v>
      </c>
      <c r="B347" s="2" t="s">
        <v>7</v>
      </c>
      <c r="C347" s="2" t="s">
        <v>29</v>
      </c>
      <c r="D347" s="2">
        <v>6063</v>
      </c>
      <c r="E347" s="2">
        <v>6709</v>
      </c>
      <c r="F347" s="2" t="s">
        <v>19</v>
      </c>
      <c r="G347" s="4" t="str">
        <f>IF('Expense Data'!E347&lt;='Expense Data'!D347,"On Budget","Over Budget")</f>
        <v>Over Budget</v>
      </c>
    </row>
    <row r="348" spans="1:7" x14ac:dyDescent="0.3">
      <c r="A348" s="3" t="s">
        <v>27</v>
      </c>
      <c r="B348" s="2" t="s">
        <v>25</v>
      </c>
      <c r="C348" s="2" t="s">
        <v>17</v>
      </c>
      <c r="D348" s="2">
        <v>8814</v>
      </c>
      <c r="E348" s="2">
        <v>5517</v>
      </c>
      <c r="F348" s="2" t="s">
        <v>30</v>
      </c>
      <c r="G348" s="4" t="str">
        <f>IF('Expense Data'!E348&lt;='Expense Data'!D348,"On Budget","Over Budget")</f>
        <v>On Budget</v>
      </c>
    </row>
    <row r="349" spans="1:7" x14ac:dyDescent="0.3">
      <c r="A349" s="3" t="s">
        <v>13</v>
      </c>
      <c r="B349" s="2" t="s">
        <v>35</v>
      </c>
      <c r="C349" s="2" t="s">
        <v>18</v>
      </c>
      <c r="D349" s="2">
        <v>4954</v>
      </c>
      <c r="E349" s="2">
        <v>8547</v>
      </c>
      <c r="F349" s="2" t="s">
        <v>15</v>
      </c>
      <c r="G349" s="4" t="str">
        <f>IF('Expense Data'!E349&lt;='Expense Data'!D349,"On Budget","Over Budget")</f>
        <v>Over Budget</v>
      </c>
    </row>
    <row r="350" spans="1:7" x14ac:dyDescent="0.3">
      <c r="A350" s="3" t="s">
        <v>13</v>
      </c>
      <c r="B350" s="2" t="s">
        <v>7</v>
      </c>
      <c r="C350" s="2" t="s">
        <v>18</v>
      </c>
      <c r="D350" s="2">
        <v>6124</v>
      </c>
      <c r="E350" s="2">
        <v>3846</v>
      </c>
      <c r="F350" s="2" t="s">
        <v>30</v>
      </c>
      <c r="G350" s="4" t="str">
        <f>IF('Expense Data'!E350&lt;='Expense Data'!D350,"On Budget","Over Budget")</f>
        <v>On Budget</v>
      </c>
    </row>
    <row r="351" spans="1:7" x14ac:dyDescent="0.3">
      <c r="A351" s="3" t="s">
        <v>6</v>
      </c>
      <c r="B351" s="2" t="s">
        <v>28</v>
      </c>
      <c r="C351" s="2" t="s">
        <v>34</v>
      </c>
      <c r="D351" s="2">
        <v>7464</v>
      </c>
      <c r="E351" s="2">
        <v>3007</v>
      </c>
      <c r="F351" s="2" t="s">
        <v>19</v>
      </c>
      <c r="G351" s="4" t="str">
        <f>IF('Expense Data'!E351&lt;='Expense Data'!D351,"On Budget","Over Budget")</f>
        <v>On Budget</v>
      </c>
    </row>
    <row r="352" spans="1:7" x14ac:dyDescent="0.3">
      <c r="A352" s="3" t="s">
        <v>13</v>
      </c>
      <c r="B352" s="2" t="s">
        <v>25</v>
      </c>
      <c r="C352" s="2" t="s">
        <v>18</v>
      </c>
      <c r="D352" s="2">
        <v>1530</v>
      </c>
      <c r="E352" s="2">
        <v>1888</v>
      </c>
      <c r="F352" s="2" t="s">
        <v>30</v>
      </c>
      <c r="G352" s="4" t="str">
        <f>IF('Expense Data'!E352&lt;='Expense Data'!D352,"On Budget","Over Budget")</f>
        <v>Over Budget</v>
      </c>
    </row>
    <row r="353" spans="1:7" x14ac:dyDescent="0.3">
      <c r="A353" s="3" t="s">
        <v>13</v>
      </c>
      <c r="B353" s="2" t="s">
        <v>10</v>
      </c>
      <c r="C353" s="2" t="s">
        <v>24</v>
      </c>
      <c r="D353" s="2">
        <v>5043</v>
      </c>
      <c r="E353" s="2">
        <v>6765</v>
      </c>
      <c r="F353" s="2" t="s">
        <v>19</v>
      </c>
      <c r="G353" s="4" t="str">
        <f>IF('Expense Data'!E353&lt;='Expense Data'!D353,"On Budget","Over Budget")</f>
        <v>Over Budget</v>
      </c>
    </row>
    <row r="354" spans="1:7" x14ac:dyDescent="0.3">
      <c r="A354" s="3" t="s">
        <v>33</v>
      </c>
      <c r="B354" s="2" t="s">
        <v>31</v>
      </c>
      <c r="C354" s="2" t="s">
        <v>32</v>
      </c>
      <c r="D354" s="2">
        <v>5212</v>
      </c>
      <c r="E354" s="2">
        <v>886</v>
      </c>
      <c r="F354" s="2" t="s">
        <v>12</v>
      </c>
      <c r="G354" s="4" t="str">
        <f>IF('Expense Data'!E354&lt;='Expense Data'!D354,"On Budget","Over Budget")</f>
        <v>On Budget</v>
      </c>
    </row>
    <row r="355" spans="1:7" x14ac:dyDescent="0.3">
      <c r="A355" s="3" t="s">
        <v>27</v>
      </c>
      <c r="B355" s="2" t="s">
        <v>35</v>
      </c>
      <c r="C355" s="2" t="s">
        <v>29</v>
      </c>
      <c r="D355" s="2">
        <v>5263</v>
      </c>
      <c r="E355" s="2">
        <v>10592</v>
      </c>
      <c r="F355" s="2" t="s">
        <v>30</v>
      </c>
      <c r="G355" s="4" t="str">
        <f>IF('Expense Data'!E355&lt;='Expense Data'!D355,"On Budget","Over Budget")</f>
        <v>Over Budget</v>
      </c>
    </row>
    <row r="356" spans="1:7" x14ac:dyDescent="0.3">
      <c r="A356" s="3" t="s">
        <v>6</v>
      </c>
      <c r="B356" s="2" t="s">
        <v>23</v>
      </c>
      <c r="C356" s="2" t="s">
        <v>32</v>
      </c>
      <c r="D356" s="2">
        <v>2761</v>
      </c>
      <c r="E356" s="2">
        <v>11721</v>
      </c>
      <c r="F356" s="2" t="s">
        <v>30</v>
      </c>
      <c r="G356" s="4" t="str">
        <f>IF('Expense Data'!E356&lt;='Expense Data'!D356,"On Budget","Over Budget")</f>
        <v>Over Budget</v>
      </c>
    </row>
    <row r="357" spans="1:7" x14ac:dyDescent="0.3">
      <c r="A357" s="3" t="s">
        <v>13</v>
      </c>
      <c r="B357" s="2" t="s">
        <v>7</v>
      </c>
      <c r="C357" s="2" t="s">
        <v>21</v>
      </c>
      <c r="D357" s="2">
        <v>9834</v>
      </c>
      <c r="E357" s="2">
        <v>7574</v>
      </c>
      <c r="F357" s="2" t="s">
        <v>36</v>
      </c>
      <c r="G357" s="4" t="str">
        <f>IF('Expense Data'!E357&lt;='Expense Data'!D357,"On Budget","Over Budget")</f>
        <v>On Budget</v>
      </c>
    </row>
    <row r="358" spans="1:7" x14ac:dyDescent="0.3">
      <c r="A358" s="3" t="s">
        <v>22</v>
      </c>
      <c r="B358" s="2" t="s">
        <v>23</v>
      </c>
      <c r="C358" s="2" t="s">
        <v>26</v>
      </c>
      <c r="D358" s="2">
        <v>5131</v>
      </c>
      <c r="E358" s="2">
        <v>1962</v>
      </c>
      <c r="F358" s="2" t="s">
        <v>30</v>
      </c>
      <c r="G358" s="4" t="str">
        <f>IF('Expense Data'!E358&lt;='Expense Data'!D358,"On Budget","Over Budget")</f>
        <v>On Budget</v>
      </c>
    </row>
    <row r="359" spans="1:7" x14ac:dyDescent="0.3">
      <c r="A359" s="3" t="s">
        <v>33</v>
      </c>
      <c r="B359" s="2" t="s">
        <v>35</v>
      </c>
      <c r="C359" s="2" t="s">
        <v>11</v>
      </c>
      <c r="D359" s="2">
        <v>8699</v>
      </c>
      <c r="E359" s="2">
        <v>4309</v>
      </c>
      <c r="F359" s="2" t="s">
        <v>30</v>
      </c>
      <c r="G359" s="4" t="str">
        <f>IF('Expense Data'!E359&lt;='Expense Data'!D359,"On Budget","Over Budget")</f>
        <v>On Budget</v>
      </c>
    </row>
    <row r="360" spans="1:7" x14ac:dyDescent="0.3">
      <c r="A360" s="3" t="s">
        <v>16</v>
      </c>
      <c r="B360" s="2" t="s">
        <v>7</v>
      </c>
      <c r="C360" s="2" t="s">
        <v>32</v>
      </c>
      <c r="D360" s="2">
        <v>6761</v>
      </c>
      <c r="E360" s="2">
        <v>10879</v>
      </c>
      <c r="F360" s="2" t="s">
        <v>15</v>
      </c>
      <c r="G360" s="4" t="str">
        <f>IF('Expense Data'!E360&lt;='Expense Data'!D360,"On Budget","Over Budget")</f>
        <v>Over Budget</v>
      </c>
    </row>
    <row r="361" spans="1:7" x14ac:dyDescent="0.3">
      <c r="A361" s="3" t="s">
        <v>16</v>
      </c>
      <c r="B361" s="2" t="s">
        <v>10</v>
      </c>
      <c r="C361" s="2" t="s">
        <v>17</v>
      </c>
      <c r="D361" s="2">
        <v>6598</v>
      </c>
      <c r="E361" s="2">
        <v>1004</v>
      </c>
      <c r="F361" s="2" t="s">
        <v>19</v>
      </c>
      <c r="G361" s="4" t="str">
        <f>IF('Expense Data'!E361&lt;='Expense Data'!D361,"On Budget","Over Budget")</f>
        <v>On Budget</v>
      </c>
    </row>
    <row r="362" spans="1:7" x14ac:dyDescent="0.3">
      <c r="A362" s="3" t="s">
        <v>22</v>
      </c>
      <c r="B362" s="2" t="s">
        <v>28</v>
      </c>
      <c r="C362" s="2" t="s">
        <v>18</v>
      </c>
      <c r="D362" s="2">
        <v>9414</v>
      </c>
      <c r="E362" s="2">
        <v>10157</v>
      </c>
      <c r="F362" s="2" t="s">
        <v>15</v>
      </c>
      <c r="G362" s="4" t="str">
        <f>IF('Expense Data'!E362&lt;='Expense Data'!D362,"On Budget","Over Budget")</f>
        <v>Over Budget</v>
      </c>
    </row>
    <row r="363" spans="1:7" x14ac:dyDescent="0.3">
      <c r="A363" s="3" t="s">
        <v>13</v>
      </c>
      <c r="B363" s="2" t="s">
        <v>7</v>
      </c>
      <c r="C363" s="2" t="s">
        <v>21</v>
      </c>
      <c r="D363" s="2">
        <v>6959</v>
      </c>
      <c r="E363" s="2">
        <v>7117</v>
      </c>
      <c r="F363" s="2" t="s">
        <v>12</v>
      </c>
      <c r="G363" s="4" t="str">
        <f>IF('Expense Data'!E363&lt;='Expense Data'!D363,"On Budget","Over Budget")</f>
        <v>Over Budget</v>
      </c>
    </row>
    <row r="364" spans="1:7" x14ac:dyDescent="0.3">
      <c r="A364" s="3" t="s">
        <v>6</v>
      </c>
      <c r="B364" s="2" t="s">
        <v>28</v>
      </c>
      <c r="C364" s="2" t="s">
        <v>26</v>
      </c>
      <c r="D364" s="2">
        <v>5843</v>
      </c>
      <c r="E364" s="2">
        <v>2609</v>
      </c>
      <c r="F364" s="2" t="s">
        <v>19</v>
      </c>
      <c r="G364" s="4" t="str">
        <f>IF('Expense Data'!E364&lt;='Expense Data'!D364,"On Budget","Over Budget")</f>
        <v>On Budget</v>
      </c>
    </row>
    <row r="365" spans="1:7" x14ac:dyDescent="0.3">
      <c r="A365" s="3" t="s">
        <v>33</v>
      </c>
      <c r="B365" s="2" t="s">
        <v>28</v>
      </c>
      <c r="C365" s="2" t="s">
        <v>18</v>
      </c>
      <c r="D365" s="2">
        <v>9347</v>
      </c>
      <c r="E365" s="2">
        <v>2852</v>
      </c>
      <c r="F365" s="2" t="s">
        <v>15</v>
      </c>
      <c r="G365" s="4" t="str">
        <f>IF('Expense Data'!E365&lt;='Expense Data'!D365,"On Budget","Over Budget")</f>
        <v>On Budget</v>
      </c>
    </row>
    <row r="366" spans="1:7" x14ac:dyDescent="0.3">
      <c r="A366" s="3" t="s">
        <v>22</v>
      </c>
      <c r="B366" s="2" t="s">
        <v>35</v>
      </c>
      <c r="C366" s="2" t="s">
        <v>8</v>
      </c>
      <c r="D366" s="2">
        <v>1986</v>
      </c>
      <c r="E366" s="2">
        <v>5673</v>
      </c>
      <c r="F366" s="2" t="s">
        <v>30</v>
      </c>
      <c r="G366" s="4" t="str">
        <f>IF('Expense Data'!E366&lt;='Expense Data'!D366,"On Budget","Over Budget")</f>
        <v>Over Budget</v>
      </c>
    </row>
    <row r="367" spans="1:7" x14ac:dyDescent="0.3">
      <c r="A367" s="3" t="s">
        <v>33</v>
      </c>
      <c r="B367" s="2" t="s">
        <v>35</v>
      </c>
      <c r="C367" s="2" t="s">
        <v>8</v>
      </c>
      <c r="D367" s="2">
        <v>9305</v>
      </c>
      <c r="E367" s="2">
        <v>8197</v>
      </c>
      <c r="F367" s="2" t="s">
        <v>15</v>
      </c>
      <c r="G367" s="4" t="str">
        <f>IF('Expense Data'!E367&lt;='Expense Data'!D367,"On Budget","Over Budget")</f>
        <v>On Budget</v>
      </c>
    </row>
    <row r="368" spans="1:7" x14ac:dyDescent="0.3">
      <c r="A368" s="3" t="s">
        <v>9</v>
      </c>
      <c r="B368" s="2" t="s">
        <v>25</v>
      </c>
      <c r="C368" s="2" t="s">
        <v>18</v>
      </c>
      <c r="D368" s="2">
        <v>3396</v>
      </c>
      <c r="E368" s="2">
        <v>9280</v>
      </c>
      <c r="F368" s="2" t="s">
        <v>15</v>
      </c>
      <c r="G368" s="4" t="str">
        <f>IF('Expense Data'!E368&lt;='Expense Data'!D368,"On Budget","Over Budget")</f>
        <v>Over Budget</v>
      </c>
    </row>
    <row r="369" spans="1:7" x14ac:dyDescent="0.3">
      <c r="A369" s="3" t="s">
        <v>6</v>
      </c>
      <c r="B369" s="2" t="s">
        <v>28</v>
      </c>
      <c r="C369" s="2" t="s">
        <v>34</v>
      </c>
      <c r="D369" s="2">
        <v>8334</v>
      </c>
      <c r="E369" s="2">
        <v>1976</v>
      </c>
      <c r="F369" s="2" t="s">
        <v>15</v>
      </c>
      <c r="G369" s="4" t="str">
        <f>IF('Expense Data'!E369&lt;='Expense Data'!D369,"On Budget","Over Budget")</f>
        <v>On Budget</v>
      </c>
    </row>
    <row r="370" spans="1:7" x14ac:dyDescent="0.3">
      <c r="A370" s="3" t="s">
        <v>13</v>
      </c>
      <c r="B370" s="2" t="s">
        <v>28</v>
      </c>
      <c r="C370" s="2" t="s">
        <v>8</v>
      </c>
      <c r="D370" s="2">
        <v>6860</v>
      </c>
      <c r="E370" s="2">
        <v>1653</v>
      </c>
      <c r="F370" s="2" t="s">
        <v>15</v>
      </c>
      <c r="G370" s="4" t="str">
        <f>IF('Expense Data'!E370&lt;='Expense Data'!D370,"On Budget","Over Budget")</f>
        <v>On Budget</v>
      </c>
    </row>
    <row r="371" spans="1:7" x14ac:dyDescent="0.3">
      <c r="A371" s="3" t="s">
        <v>13</v>
      </c>
      <c r="B371" s="2" t="s">
        <v>23</v>
      </c>
      <c r="C371" s="2" t="s">
        <v>14</v>
      </c>
      <c r="D371" s="2">
        <v>1074</v>
      </c>
      <c r="E371" s="2">
        <v>9933</v>
      </c>
      <c r="F371" s="2" t="s">
        <v>19</v>
      </c>
      <c r="G371" s="4" t="str">
        <f>IF('Expense Data'!E371&lt;='Expense Data'!D371,"On Budget","Over Budget")</f>
        <v>Over Budget</v>
      </c>
    </row>
    <row r="372" spans="1:7" x14ac:dyDescent="0.3">
      <c r="A372" s="3" t="s">
        <v>13</v>
      </c>
      <c r="B372" s="2" t="s">
        <v>31</v>
      </c>
      <c r="C372" s="2" t="s">
        <v>29</v>
      </c>
      <c r="D372" s="2">
        <v>9798</v>
      </c>
      <c r="E372" s="2">
        <v>5795</v>
      </c>
      <c r="F372" s="2" t="s">
        <v>36</v>
      </c>
      <c r="G372" s="4" t="str">
        <f>IF('Expense Data'!E372&lt;='Expense Data'!D372,"On Budget","Over Budget")</f>
        <v>On Budget</v>
      </c>
    </row>
    <row r="373" spans="1:7" x14ac:dyDescent="0.3">
      <c r="A373" s="3" t="s">
        <v>27</v>
      </c>
      <c r="B373" s="2" t="s">
        <v>10</v>
      </c>
      <c r="C373" s="2" t="s">
        <v>29</v>
      </c>
      <c r="D373" s="2">
        <v>2247</v>
      </c>
      <c r="E373" s="2">
        <v>1405</v>
      </c>
      <c r="F373" s="2" t="s">
        <v>19</v>
      </c>
      <c r="G373" s="4" t="str">
        <f>IF('Expense Data'!E373&lt;='Expense Data'!D373,"On Budget","Over Budget")</f>
        <v>On Budget</v>
      </c>
    </row>
    <row r="374" spans="1:7" x14ac:dyDescent="0.3">
      <c r="A374" s="3" t="s">
        <v>33</v>
      </c>
      <c r="B374" s="2" t="s">
        <v>28</v>
      </c>
      <c r="C374" s="2" t="s">
        <v>17</v>
      </c>
      <c r="D374" s="2">
        <v>7041</v>
      </c>
      <c r="E374" s="2">
        <v>11306</v>
      </c>
      <c r="F374" s="2" t="s">
        <v>12</v>
      </c>
      <c r="G374" s="4" t="str">
        <f>IF('Expense Data'!E374&lt;='Expense Data'!D374,"On Budget","Over Budget")</f>
        <v>Over Budget</v>
      </c>
    </row>
    <row r="375" spans="1:7" x14ac:dyDescent="0.3">
      <c r="A375" s="3" t="s">
        <v>13</v>
      </c>
      <c r="B375" s="2" t="s">
        <v>35</v>
      </c>
      <c r="C375" s="2" t="s">
        <v>14</v>
      </c>
      <c r="D375" s="2">
        <v>4141</v>
      </c>
      <c r="E375" s="2">
        <v>4841</v>
      </c>
      <c r="F375" s="2" t="s">
        <v>30</v>
      </c>
      <c r="G375" s="4" t="str">
        <f>IF('Expense Data'!E375&lt;='Expense Data'!D375,"On Budget","Over Budget")</f>
        <v>Over Budget</v>
      </c>
    </row>
    <row r="376" spans="1:7" x14ac:dyDescent="0.3">
      <c r="A376" s="3" t="s">
        <v>9</v>
      </c>
      <c r="B376" s="2" t="s">
        <v>31</v>
      </c>
      <c r="C376" s="2" t="s">
        <v>29</v>
      </c>
      <c r="D376" s="2">
        <v>5574</v>
      </c>
      <c r="E376" s="2">
        <v>3718</v>
      </c>
      <c r="F376" s="2" t="s">
        <v>36</v>
      </c>
      <c r="G376" s="4" t="str">
        <f>IF('Expense Data'!E376&lt;='Expense Data'!D376,"On Budget","Over Budget")</f>
        <v>On Budget</v>
      </c>
    </row>
    <row r="377" spans="1:7" x14ac:dyDescent="0.3">
      <c r="A377" s="3" t="s">
        <v>13</v>
      </c>
      <c r="B377" s="2" t="s">
        <v>28</v>
      </c>
      <c r="C377" s="2" t="s">
        <v>29</v>
      </c>
      <c r="D377" s="2">
        <v>4501</v>
      </c>
      <c r="E377" s="2">
        <v>7447</v>
      </c>
      <c r="F377" s="2" t="s">
        <v>15</v>
      </c>
      <c r="G377" s="4" t="str">
        <f>IF('Expense Data'!E377&lt;='Expense Data'!D377,"On Budget","Over Budget")</f>
        <v>Over Budget</v>
      </c>
    </row>
    <row r="378" spans="1:7" x14ac:dyDescent="0.3">
      <c r="A378" s="3" t="s">
        <v>9</v>
      </c>
      <c r="B378" s="2" t="s">
        <v>28</v>
      </c>
      <c r="C378" s="2" t="s">
        <v>18</v>
      </c>
      <c r="D378" s="2">
        <v>7364</v>
      </c>
      <c r="E378" s="2">
        <v>2439</v>
      </c>
      <c r="F378" s="2" t="s">
        <v>36</v>
      </c>
      <c r="G378" s="4" t="str">
        <f>IF('Expense Data'!E378&lt;='Expense Data'!D378,"On Budget","Over Budget")</f>
        <v>On Budget</v>
      </c>
    </row>
    <row r="379" spans="1:7" x14ac:dyDescent="0.3">
      <c r="A379" s="3" t="s">
        <v>16</v>
      </c>
      <c r="B379" s="2" t="s">
        <v>28</v>
      </c>
      <c r="C379" s="2" t="s">
        <v>26</v>
      </c>
      <c r="D379" s="2">
        <v>4512</v>
      </c>
      <c r="E379" s="2">
        <v>11544</v>
      </c>
      <c r="F379" s="2" t="s">
        <v>36</v>
      </c>
      <c r="G379" s="4" t="str">
        <f>IF('Expense Data'!E379&lt;='Expense Data'!D379,"On Budget","Over Budget")</f>
        <v>Over Budget</v>
      </c>
    </row>
    <row r="380" spans="1:7" x14ac:dyDescent="0.3">
      <c r="A380" s="3" t="s">
        <v>6</v>
      </c>
      <c r="B380" s="2" t="s">
        <v>10</v>
      </c>
      <c r="C380" s="2" t="s">
        <v>18</v>
      </c>
      <c r="D380" s="2">
        <v>4578</v>
      </c>
      <c r="E380" s="2">
        <v>7320</v>
      </c>
      <c r="F380" s="2" t="s">
        <v>12</v>
      </c>
      <c r="G380" s="4" t="str">
        <f>IF('Expense Data'!E380&lt;='Expense Data'!D380,"On Budget","Over Budget")</f>
        <v>Over Budget</v>
      </c>
    </row>
    <row r="381" spans="1:7" x14ac:dyDescent="0.3">
      <c r="A381" s="3" t="s">
        <v>22</v>
      </c>
      <c r="B381" s="2" t="s">
        <v>28</v>
      </c>
      <c r="C381" s="2" t="s">
        <v>20</v>
      </c>
      <c r="D381" s="2">
        <v>8709</v>
      </c>
      <c r="E381" s="2">
        <v>8113</v>
      </c>
      <c r="F381" s="2" t="s">
        <v>36</v>
      </c>
      <c r="G381" s="4" t="str">
        <f>IF('Expense Data'!E381&lt;='Expense Data'!D381,"On Budget","Over Budget")</f>
        <v>On Budget</v>
      </c>
    </row>
    <row r="382" spans="1:7" x14ac:dyDescent="0.3">
      <c r="A382" s="3" t="s">
        <v>16</v>
      </c>
      <c r="B382" s="2" t="s">
        <v>23</v>
      </c>
      <c r="C382" s="2" t="s">
        <v>11</v>
      </c>
      <c r="D382" s="2">
        <v>3364</v>
      </c>
      <c r="E382" s="2">
        <v>9264</v>
      </c>
      <c r="F382" s="2" t="s">
        <v>19</v>
      </c>
      <c r="G382" s="4" t="str">
        <f>IF('Expense Data'!E382&lt;='Expense Data'!D382,"On Budget","Over Budget")</f>
        <v>Over Budget</v>
      </c>
    </row>
    <row r="383" spans="1:7" x14ac:dyDescent="0.3">
      <c r="A383" s="3" t="s">
        <v>33</v>
      </c>
      <c r="B383" s="2" t="s">
        <v>35</v>
      </c>
      <c r="C383" s="2" t="s">
        <v>26</v>
      </c>
      <c r="D383" s="2">
        <v>2367</v>
      </c>
      <c r="E383" s="2">
        <v>5740</v>
      </c>
      <c r="F383" s="2" t="s">
        <v>15</v>
      </c>
      <c r="G383" s="4" t="str">
        <f>IF('Expense Data'!E383&lt;='Expense Data'!D383,"On Budget","Over Budget")</f>
        <v>Over Budget</v>
      </c>
    </row>
    <row r="384" spans="1:7" x14ac:dyDescent="0.3">
      <c r="A384" s="3" t="s">
        <v>13</v>
      </c>
      <c r="B384" s="2" t="s">
        <v>31</v>
      </c>
      <c r="C384" s="2" t="s">
        <v>26</v>
      </c>
      <c r="D384" s="2">
        <v>3071</v>
      </c>
      <c r="E384" s="2">
        <v>1281</v>
      </c>
      <c r="F384" s="2" t="s">
        <v>30</v>
      </c>
      <c r="G384" s="4" t="str">
        <f>IF('Expense Data'!E384&lt;='Expense Data'!D384,"On Budget","Over Budget")</f>
        <v>On Budget</v>
      </c>
    </row>
    <row r="385" spans="1:7" x14ac:dyDescent="0.3">
      <c r="A385" s="3" t="s">
        <v>6</v>
      </c>
      <c r="B385" s="2" t="s">
        <v>10</v>
      </c>
      <c r="C385" s="2" t="s">
        <v>18</v>
      </c>
      <c r="D385" s="2">
        <v>4497</v>
      </c>
      <c r="E385" s="2">
        <v>4909</v>
      </c>
      <c r="F385" s="2" t="s">
        <v>36</v>
      </c>
      <c r="G385" s="4" t="str">
        <f>IF('Expense Data'!E385&lt;='Expense Data'!D385,"On Budget","Over Budget")</f>
        <v>Over Budget</v>
      </c>
    </row>
    <row r="386" spans="1:7" x14ac:dyDescent="0.3">
      <c r="A386" s="3" t="s">
        <v>22</v>
      </c>
      <c r="B386" s="2" t="s">
        <v>31</v>
      </c>
      <c r="C386" s="2" t="s">
        <v>11</v>
      </c>
      <c r="D386" s="2">
        <v>1322</v>
      </c>
      <c r="E386" s="2">
        <v>6535</v>
      </c>
      <c r="F386" s="2" t="s">
        <v>30</v>
      </c>
      <c r="G386" s="4" t="str">
        <f>IF('Expense Data'!E386&lt;='Expense Data'!D386,"On Budget","Over Budget")</f>
        <v>Over Budget</v>
      </c>
    </row>
    <row r="387" spans="1:7" x14ac:dyDescent="0.3">
      <c r="A387" s="3" t="s">
        <v>6</v>
      </c>
      <c r="B387" s="2" t="s">
        <v>31</v>
      </c>
      <c r="C387" s="2" t="s">
        <v>18</v>
      </c>
      <c r="D387" s="2">
        <v>4410</v>
      </c>
      <c r="E387" s="2">
        <v>4320</v>
      </c>
      <c r="F387" s="2" t="s">
        <v>36</v>
      </c>
      <c r="G387" s="4" t="str">
        <f>IF('Expense Data'!E387&lt;='Expense Data'!D387,"On Budget","Over Budget")</f>
        <v>On Budget</v>
      </c>
    </row>
    <row r="388" spans="1:7" x14ac:dyDescent="0.3">
      <c r="A388" s="3" t="s">
        <v>9</v>
      </c>
      <c r="B388" s="2" t="s">
        <v>7</v>
      </c>
      <c r="C388" s="2" t="s">
        <v>26</v>
      </c>
      <c r="D388" s="2">
        <v>6712</v>
      </c>
      <c r="E388" s="2">
        <v>5878</v>
      </c>
      <c r="F388" s="2" t="s">
        <v>36</v>
      </c>
      <c r="G388" s="4" t="str">
        <f>IF('Expense Data'!E388&lt;='Expense Data'!D388,"On Budget","Over Budget")</f>
        <v>On Budget</v>
      </c>
    </row>
    <row r="389" spans="1:7" x14ac:dyDescent="0.3">
      <c r="A389" s="3" t="s">
        <v>33</v>
      </c>
      <c r="B389" s="2" t="s">
        <v>28</v>
      </c>
      <c r="C389" s="2" t="s">
        <v>17</v>
      </c>
      <c r="D389" s="2">
        <v>8485</v>
      </c>
      <c r="E389" s="2">
        <v>1677</v>
      </c>
      <c r="F389" s="2" t="s">
        <v>30</v>
      </c>
      <c r="G389" s="4" t="str">
        <f>IF('Expense Data'!E389&lt;='Expense Data'!D389,"On Budget","Over Budget")</f>
        <v>On Budget</v>
      </c>
    </row>
    <row r="390" spans="1:7" x14ac:dyDescent="0.3">
      <c r="A390" s="3" t="s">
        <v>27</v>
      </c>
      <c r="B390" s="2" t="s">
        <v>31</v>
      </c>
      <c r="C390" s="2" t="s">
        <v>29</v>
      </c>
      <c r="D390" s="2">
        <v>7732</v>
      </c>
      <c r="E390" s="2">
        <v>2764</v>
      </c>
      <c r="F390" s="2" t="s">
        <v>19</v>
      </c>
      <c r="G390" s="4" t="str">
        <f>IF('Expense Data'!E390&lt;='Expense Data'!D390,"On Budget","Over Budget")</f>
        <v>On Budget</v>
      </c>
    </row>
    <row r="391" spans="1:7" x14ac:dyDescent="0.3">
      <c r="A391" s="3" t="s">
        <v>16</v>
      </c>
      <c r="B391" s="2" t="s">
        <v>7</v>
      </c>
      <c r="C391" s="2" t="s">
        <v>20</v>
      </c>
      <c r="D391" s="2">
        <v>3159</v>
      </c>
      <c r="E391" s="2">
        <v>10256</v>
      </c>
      <c r="F391" s="2" t="s">
        <v>30</v>
      </c>
      <c r="G391" s="4" t="str">
        <f>IF('Expense Data'!E391&lt;='Expense Data'!D391,"On Budget","Over Budget")</f>
        <v>Over Budget</v>
      </c>
    </row>
    <row r="392" spans="1:7" x14ac:dyDescent="0.3">
      <c r="A392" s="3" t="s">
        <v>16</v>
      </c>
      <c r="B392" s="2" t="s">
        <v>7</v>
      </c>
      <c r="C392" s="2" t="s">
        <v>29</v>
      </c>
      <c r="D392" s="2">
        <v>4336</v>
      </c>
      <c r="E392" s="2">
        <v>10618</v>
      </c>
      <c r="F392" s="2" t="s">
        <v>36</v>
      </c>
      <c r="G392" s="4" t="str">
        <f>IF('Expense Data'!E392&lt;='Expense Data'!D392,"On Budget","Over Budget")</f>
        <v>Over Budget</v>
      </c>
    </row>
    <row r="393" spans="1:7" x14ac:dyDescent="0.3">
      <c r="A393" s="3" t="s">
        <v>6</v>
      </c>
      <c r="B393" s="2" t="s">
        <v>23</v>
      </c>
      <c r="C393" s="2" t="s">
        <v>29</v>
      </c>
      <c r="D393" s="2">
        <v>3184</v>
      </c>
      <c r="E393" s="2">
        <v>7835</v>
      </c>
      <c r="F393" s="2" t="s">
        <v>15</v>
      </c>
      <c r="G393" s="4" t="str">
        <f>IF('Expense Data'!E393&lt;='Expense Data'!D393,"On Budget","Over Budget")</f>
        <v>Over Budget</v>
      </c>
    </row>
    <row r="394" spans="1:7" x14ac:dyDescent="0.3">
      <c r="A394" s="3" t="s">
        <v>22</v>
      </c>
      <c r="B394" s="2" t="s">
        <v>28</v>
      </c>
      <c r="C394" s="2" t="s">
        <v>17</v>
      </c>
      <c r="D394" s="2">
        <v>4494</v>
      </c>
      <c r="E394" s="2">
        <v>6591</v>
      </c>
      <c r="F394" s="2" t="s">
        <v>12</v>
      </c>
      <c r="G394" s="4" t="str">
        <f>IF('Expense Data'!E394&lt;='Expense Data'!D394,"On Budget","Over Budget")</f>
        <v>Over Budget</v>
      </c>
    </row>
    <row r="395" spans="1:7" x14ac:dyDescent="0.3">
      <c r="A395" s="3" t="s">
        <v>33</v>
      </c>
      <c r="B395" s="2" t="s">
        <v>25</v>
      </c>
      <c r="C395" s="2" t="s">
        <v>14</v>
      </c>
      <c r="D395" s="2">
        <v>8721</v>
      </c>
      <c r="E395" s="2">
        <v>10508</v>
      </c>
      <c r="F395" s="2" t="s">
        <v>15</v>
      </c>
      <c r="G395" s="4" t="str">
        <f>IF('Expense Data'!E395&lt;='Expense Data'!D395,"On Budget","Over Budget")</f>
        <v>Over Budget</v>
      </c>
    </row>
    <row r="396" spans="1:7" x14ac:dyDescent="0.3">
      <c r="A396" s="3" t="s">
        <v>16</v>
      </c>
      <c r="B396" s="2" t="s">
        <v>25</v>
      </c>
      <c r="C396" s="2" t="s">
        <v>32</v>
      </c>
      <c r="D396" s="2">
        <v>9237</v>
      </c>
      <c r="E396" s="2">
        <v>4112</v>
      </c>
      <c r="F396" s="2" t="s">
        <v>30</v>
      </c>
      <c r="G396" s="4" t="str">
        <f>IF('Expense Data'!E396&lt;='Expense Data'!D396,"On Budget","Over Budget")</f>
        <v>On Budget</v>
      </c>
    </row>
    <row r="397" spans="1:7" x14ac:dyDescent="0.3">
      <c r="A397" s="3" t="s">
        <v>33</v>
      </c>
      <c r="B397" s="2" t="s">
        <v>25</v>
      </c>
      <c r="C397" s="2" t="s">
        <v>11</v>
      </c>
      <c r="D397" s="2">
        <v>4808</v>
      </c>
      <c r="E397" s="2">
        <v>11555</v>
      </c>
      <c r="F397" s="2" t="s">
        <v>30</v>
      </c>
      <c r="G397" s="4" t="str">
        <f>IF('Expense Data'!E397&lt;='Expense Data'!D397,"On Budget","Over Budget")</f>
        <v>Over Budget</v>
      </c>
    </row>
    <row r="398" spans="1:7" x14ac:dyDescent="0.3">
      <c r="A398" s="3" t="s">
        <v>33</v>
      </c>
      <c r="B398" s="2" t="s">
        <v>10</v>
      </c>
      <c r="C398" s="2" t="s">
        <v>11</v>
      </c>
      <c r="D398" s="2">
        <v>9600</v>
      </c>
      <c r="E398" s="2">
        <v>8404</v>
      </c>
      <c r="F398" s="2" t="s">
        <v>19</v>
      </c>
      <c r="G398" s="4" t="str">
        <f>IF('Expense Data'!E398&lt;='Expense Data'!D398,"On Budget","Over Budget")</f>
        <v>On Budget</v>
      </c>
    </row>
    <row r="399" spans="1:7" x14ac:dyDescent="0.3">
      <c r="A399" s="3" t="s">
        <v>33</v>
      </c>
      <c r="B399" s="2" t="s">
        <v>31</v>
      </c>
      <c r="C399" s="2" t="s">
        <v>14</v>
      </c>
      <c r="D399" s="2">
        <v>8701</v>
      </c>
      <c r="E399" s="2">
        <v>3244</v>
      </c>
      <c r="F399" s="2" t="s">
        <v>19</v>
      </c>
      <c r="G399" s="4" t="str">
        <f>IF('Expense Data'!E399&lt;='Expense Data'!D399,"On Budget","Over Budget")</f>
        <v>On Budget</v>
      </c>
    </row>
    <row r="400" spans="1:7" x14ac:dyDescent="0.3">
      <c r="A400" s="3" t="s">
        <v>13</v>
      </c>
      <c r="B400" s="2" t="s">
        <v>25</v>
      </c>
      <c r="C400" s="2" t="s">
        <v>26</v>
      </c>
      <c r="D400" s="2">
        <v>1394</v>
      </c>
      <c r="E400" s="2">
        <v>10215</v>
      </c>
      <c r="F400" s="2" t="s">
        <v>15</v>
      </c>
      <c r="G400" s="4" t="str">
        <f>IF('Expense Data'!E400&lt;='Expense Data'!D400,"On Budget","Over Budget")</f>
        <v>Over Budget</v>
      </c>
    </row>
    <row r="401" spans="1:7" x14ac:dyDescent="0.3">
      <c r="A401" s="3" t="s">
        <v>16</v>
      </c>
      <c r="B401" s="2" t="s">
        <v>31</v>
      </c>
      <c r="C401" s="2" t="s">
        <v>11</v>
      </c>
      <c r="D401" s="2">
        <v>1146</v>
      </c>
      <c r="E401" s="2">
        <v>6958</v>
      </c>
      <c r="F401" s="2" t="s">
        <v>15</v>
      </c>
      <c r="G401" s="4" t="str">
        <f>IF('Expense Data'!E401&lt;='Expense Data'!D401,"On Budget","Over Budget")</f>
        <v>Over Budget</v>
      </c>
    </row>
    <row r="402" spans="1:7" x14ac:dyDescent="0.3">
      <c r="A402" s="3" t="s">
        <v>13</v>
      </c>
      <c r="B402" s="2" t="s">
        <v>28</v>
      </c>
      <c r="C402" s="2" t="s">
        <v>14</v>
      </c>
      <c r="D402" s="2">
        <v>3150</v>
      </c>
      <c r="E402" s="2">
        <v>10703</v>
      </c>
      <c r="F402" s="2" t="s">
        <v>15</v>
      </c>
      <c r="G402" s="4" t="str">
        <f>IF('Expense Data'!E402&lt;='Expense Data'!D402,"On Budget","Over Budget")</f>
        <v>Over Budget</v>
      </c>
    </row>
    <row r="403" spans="1:7" x14ac:dyDescent="0.3">
      <c r="A403" s="3" t="s">
        <v>33</v>
      </c>
      <c r="B403" s="2" t="s">
        <v>35</v>
      </c>
      <c r="C403" s="2" t="s">
        <v>20</v>
      </c>
      <c r="D403" s="2">
        <v>1765</v>
      </c>
      <c r="E403" s="2">
        <v>10599</v>
      </c>
      <c r="F403" s="2" t="s">
        <v>36</v>
      </c>
      <c r="G403" s="4" t="str">
        <f>IF('Expense Data'!E403&lt;='Expense Data'!D403,"On Budget","Over Budget")</f>
        <v>Over Budget</v>
      </c>
    </row>
    <row r="404" spans="1:7" x14ac:dyDescent="0.3">
      <c r="A404" s="3" t="s">
        <v>27</v>
      </c>
      <c r="B404" s="2" t="s">
        <v>7</v>
      </c>
      <c r="C404" s="2" t="s">
        <v>14</v>
      </c>
      <c r="D404" s="2">
        <v>3131</v>
      </c>
      <c r="E404" s="2">
        <v>3321</v>
      </c>
      <c r="F404" s="2" t="s">
        <v>15</v>
      </c>
      <c r="G404" s="4" t="str">
        <f>IF('Expense Data'!E404&lt;='Expense Data'!D404,"On Budget","Over Budget")</f>
        <v>Over Budget</v>
      </c>
    </row>
    <row r="405" spans="1:7" x14ac:dyDescent="0.3">
      <c r="A405" s="3" t="s">
        <v>16</v>
      </c>
      <c r="B405" s="2" t="s">
        <v>7</v>
      </c>
      <c r="C405" s="2" t="s">
        <v>26</v>
      </c>
      <c r="D405" s="2">
        <v>6008</v>
      </c>
      <c r="E405" s="2">
        <v>5421</v>
      </c>
      <c r="F405" s="2" t="s">
        <v>19</v>
      </c>
      <c r="G405" s="4" t="str">
        <f>IF('Expense Data'!E405&lt;='Expense Data'!D405,"On Budget","Over Budget")</f>
        <v>On Budget</v>
      </c>
    </row>
    <row r="406" spans="1:7" x14ac:dyDescent="0.3">
      <c r="A406" s="3" t="s">
        <v>13</v>
      </c>
      <c r="B406" s="2" t="s">
        <v>28</v>
      </c>
      <c r="C406" s="2" t="s">
        <v>11</v>
      </c>
      <c r="D406" s="2">
        <v>8732</v>
      </c>
      <c r="E406" s="2">
        <v>2976</v>
      </c>
      <c r="F406" s="2" t="s">
        <v>36</v>
      </c>
      <c r="G406" s="4" t="str">
        <f>IF('Expense Data'!E406&lt;='Expense Data'!D406,"On Budget","Over Budget")</f>
        <v>On Budget</v>
      </c>
    </row>
    <row r="407" spans="1:7" x14ac:dyDescent="0.3">
      <c r="A407" s="3" t="s">
        <v>9</v>
      </c>
      <c r="B407" s="2" t="s">
        <v>31</v>
      </c>
      <c r="C407" s="2" t="s">
        <v>18</v>
      </c>
      <c r="D407" s="2">
        <v>1593</v>
      </c>
      <c r="E407" s="2">
        <v>7292</v>
      </c>
      <c r="F407" s="2" t="s">
        <v>19</v>
      </c>
      <c r="G407" s="4" t="str">
        <f>IF('Expense Data'!E407&lt;='Expense Data'!D407,"On Budget","Over Budget")</f>
        <v>Over Budget</v>
      </c>
    </row>
    <row r="408" spans="1:7" x14ac:dyDescent="0.3">
      <c r="A408" s="3" t="s">
        <v>9</v>
      </c>
      <c r="B408" s="2" t="s">
        <v>10</v>
      </c>
      <c r="C408" s="2" t="s">
        <v>24</v>
      </c>
      <c r="D408" s="2">
        <v>1834</v>
      </c>
      <c r="E408" s="2">
        <v>8696</v>
      </c>
      <c r="F408" s="2" t="s">
        <v>30</v>
      </c>
      <c r="G408" s="4" t="str">
        <f>IF('Expense Data'!E408&lt;='Expense Data'!D408,"On Budget","Over Budget")</f>
        <v>Over Budget</v>
      </c>
    </row>
    <row r="409" spans="1:7" x14ac:dyDescent="0.3">
      <c r="A409" s="3" t="s">
        <v>22</v>
      </c>
      <c r="B409" s="2" t="s">
        <v>7</v>
      </c>
      <c r="C409" s="2" t="s">
        <v>17</v>
      </c>
      <c r="D409" s="2">
        <v>3112</v>
      </c>
      <c r="E409" s="2">
        <v>4368</v>
      </c>
      <c r="F409" s="2" t="s">
        <v>19</v>
      </c>
      <c r="G409" s="4" t="str">
        <f>IF('Expense Data'!E409&lt;='Expense Data'!D409,"On Budget","Over Budget")</f>
        <v>Over Budget</v>
      </c>
    </row>
    <row r="410" spans="1:7" x14ac:dyDescent="0.3">
      <c r="A410" s="3" t="s">
        <v>6</v>
      </c>
      <c r="B410" s="2" t="s">
        <v>28</v>
      </c>
      <c r="C410" s="2" t="s">
        <v>29</v>
      </c>
      <c r="D410" s="2">
        <v>3309</v>
      </c>
      <c r="E410" s="2">
        <v>8075</v>
      </c>
      <c r="F410" s="2" t="s">
        <v>12</v>
      </c>
      <c r="G410" s="4" t="str">
        <f>IF('Expense Data'!E410&lt;='Expense Data'!D410,"On Budget","Over Budget")</f>
        <v>Over Budget</v>
      </c>
    </row>
    <row r="411" spans="1:7" x14ac:dyDescent="0.3">
      <c r="A411" s="3" t="s">
        <v>27</v>
      </c>
      <c r="B411" s="2" t="s">
        <v>7</v>
      </c>
      <c r="C411" s="2" t="s">
        <v>21</v>
      </c>
      <c r="D411" s="2">
        <v>6369</v>
      </c>
      <c r="E411" s="2">
        <v>11050</v>
      </c>
      <c r="F411" s="2" t="s">
        <v>36</v>
      </c>
      <c r="G411" s="4" t="str">
        <f>IF('Expense Data'!E411&lt;='Expense Data'!D411,"On Budget","Over Budget")</f>
        <v>Over Budget</v>
      </c>
    </row>
    <row r="412" spans="1:7" x14ac:dyDescent="0.3">
      <c r="A412" s="3" t="s">
        <v>27</v>
      </c>
      <c r="B412" s="2" t="s">
        <v>35</v>
      </c>
      <c r="C412" s="2" t="s">
        <v>21</v>
      </c>
      <c r="D412" s="2">
        <v>5681</v>
      </c>
      <c r="E412" s="2">
        <v>9019</v>
      </c>
      <c r="F412" s="2" t="s">
        <v>36</v>
      </c>
      <c r="G412" s="4" t="str">
        <f>IF('Expense Data'!E412&lt;='Expense Data'!D412,"On Budget","Over Budget")</f>
        <v>Over Budget</v>
      </c>
    </row>
    <row r="413" spans="1:7" x14ac:dyDescent="0.3">
      <c r="A413" s="3" t="s">
        <v>16</v>
      </c>
      <c r="B413" s="2" t="s">
        <v>35</v>
      </c>
      <c r="C413" s="2" t="s">
        <v>24</v>
      </c>
      <c r="D413" s="2">
        <v>2843</v>
      </c>
      <c r="E413" s="2">
        <v>8371</v>
      </c>
      <c r="F413" s="2" t="s">
        <v>15</v>
      </c>
      <c r="G413" s="4" t="str">
        <f>IF('Expense Data'!E413&lt;='Expense Data'!D413,"On Budget","Over Budget")</f>
        <v>Over Budget</v>
      </c>
    </row>
    <row r="414" spans="1:7" x14ac:dyDescent="0.3">
      <c r="A414" s="3" t="s">
        <v>16</v>
      </c>
      <c r="B414" s="2" t="s">
        <v>10</v>
      </c>
      <c r="C414" s="2" t="s">
        <v>26</v>
      </c>
      <c r="D414" s="2">
        <v>8661</v>
      </c>
      <c r="E414" s="2">
        <v>5009</v>
      </c>
      <c r="F414" s="2" t="s">
        <v>19</v>
      </c>
      <c r="G414" s="4" t="str">
        <f>IF('Expense Data'!E414&lt;='Expense Data'!D414,"On Budget","Over Budget")</f>
        <v>On Budget</v>
      </c>
    </row>
    <row r="415" spans="1:7" x14ac:dyDescent="0.3">
      <c r="A415" s="3" t="s">
        <v>9</v>
      </c>
      <c r="B415" s="2" t="s">
        <v>35</v>
      </c>
      <c r="C415" s="2" t="s">
        <v>18</v>
      </c>
      <c r="D415" s="2">
        <v>5788</v>
      </c>
      <c r="E415" s="2">
        <v>3671</v>
      </c>
      <c r="F415" s="2" t="s">
        <v>36</v>
      </c>
      <c r="G415" s="4" t="str">
        <f>IF('Expense Data'!E415&lt;='Expense Data'!D415,"On Budget","Over Budget")</f>
        <v>On Budget</v>
      </c>
    </row>
    <row r="416" spans="1:7" x14ac:dyDescent="0.3">
      <c r="A416" s="3" t="s">
        <v>27</v>
      </c>
      <c r="B416" s="2" t="s">
        <v>10</v>
      </c>
      <c r="C416" s="2" t="s">
        <v>20</v>
      </c>
      <c r="D416" s="2">
        <v>9496</v>
      </c>
      <c r="E416" s="2">
        <v>10916</v>
      </c>
      <c r="F416" s="2" t="s">
        <v>36</v>
      </c>
      <c r="G416" s="4" t="str">
        <f>IF('Expense Data'!E416&lt;='Expense Data'!D416,"On Budget","Over Budget")</f>
        <v>Over Budget</v>
      </c>
    </row>
    <row r="417" spans="1:7" x14ac:dyDescent="0.3">
      <c r="A417" s="3" t="s">
        <v>22</v>
      </c>
      <c r="B417" s="2" t="s">
        <v>25</v>
      </c>
      <c r="C417" s="2" t="s">
        <v>18</v>
      </c>
      <c r="D417" s="2">
        <v>5345</v>
      </c>
      <c r="E417" s="2">
        <v>3641</v>
      </c>
      <c r="F417" s="2" t="s">
        <v>36</v>
      </c>
      <c r="G417" s="4" t="str">
        <f>IF('Expense Data'!E417&lt;='Expense Data'!D417,"On Budget","Over Budget")</f>
        <v>On Budget</v>
      </c>
    </row>
    <row r="418" spans="1:7" x14ac:dyDescent="0.3">
      <c r="A418" s="3" t="s">
        <v>22</v>
      </c>
      <c r="B418" s="2" t="s">
        <v>10</v>
      </c>
      <c r="C418" s="2" t="s">
        <v>8</v>
      </c>
      <c r="D418" s="2">
        <v>8724</v>
      </c>
      <c r="E418" s="2">
        <v>11752</v>
      </c>
      <c r="F418" s="2" t="s">
        <v>30</v>
      </c>
      <c r="G418" s="4" t="str">
        <f>IF('Expense Data'!E418&lt;='Expense Data'!D418,"On Budget","Over Budget")</f>
        <v>Over Budget</v>
      </c>
    </row>
    <row r="419" spans="1:7" x14ac:dyDescent="0.3">
      <c r="A419" s="3" t="s">
        <v>33</v>
      </c>
      <c r="B419" s="2" t="s">
        <v>28</v>
      </c>
      <c r="C419" s="2" t="s">
        <v>21</v>
      </c>
      <c r="D419" s="2">
        <v>4820</v>
      </c>
      <c r="E419" s="2">
        <v>10915</v>
      </c>
      <c r="F419" s="2" t="s">
        <v>36</v>
      </c>
      <c r="G419" s="4" t="str">
        <f>IF('Expense Data'!E419&lt;='Expense Data'!D419,"On Budget","Over Budget")</f>
        <v>Over Budget</v>
      </c>
    </row>
    <row r="420" spans="1:7" x14ac:dyDescent="0.3">
      <c r="A420" s="3" t="s">
        <v>22</v>
      </c>
      <c r="B420" s="2" t="s">
        <v>7</v>
      </c>
      <c r="C420" s="2" t="s">
        <v>24</v>
      </c>
      <c r="D420" s="2">
        <v>1143</v>
      </c>
      <c r="E420" s="2">
        <v>11179</v>
      </c>
      <c r="F420" s="2" t="s">
        <v>36</v>
      </c>
      <c r="G420" s="4" t="str">
        <f>IF('Expense Data'!E420&lt;='Expense Data'!D420,"On Budget","Over Budget")</f>
        <v>Over Budget</v>
      </c>
    </row>
    <row r="421" spans="1:7" x14ac:dyDescent="0.3">
      <c r="A421" s="3" t="s">
        <v>6</v>
      </c>
      <c r="B421" s="2" t="s">
        <v>28</v>
      </c>
      <c r="C421" s="2" t="s">
        <v>11</v>
      </c>
      <c r="D421" s="2">
        <v>3112</v>
      </c>
      <c r="E421" s="2">
        <v>864</v>
      </c>
      <c r="F421" s="2" t="s">
        <v>19</v>
      </c>
      <c r="G421" s="4" t="str">
        <f>IF('Expense Data'!E421&lt;='Expense Data'!D421,"On Budget","Over Budget")</f>
        <v>On Budget</v>
      </c>
    </row>
    <row r="422" spans="1:7" x14ac:dyDescent="0.3">
      <c r="A422" s="3" t="s">
        <v>9</v>
      </c>
      <c r="B422" s="2" t="s">
        <v>25</v>
      </c>
      <c r="C422" s="2" t="s">
        <v>32</v>
      </c>
      <c r="D422" s="2">
        <v>9391</v>
      </c>
      <c r="E422" s="2">
        <v>5280</v>
      </c>
      <c r="F422" s="2" t="s">
        <v>30</v>
      </c>
      <c r="G422" s="4" t="str">
        <f>IF('Expense Data'!E422&lt;='Expense Data'!D422,"On Budget","Over Budget")</f>
        <v>On Budget</v>
      </c>
    </row>
    <row r="423" spans="1:7" x14ac:dyDescent="0.3">
      <c r="A423" s="3" t="s">
        <v>27</v>
      </c>
      <c r="B423" s="2" t="s">
        <v>23</v>
      </c>
      <c r="C423" s="2" t="s">
        <v>24</v>
      </c>
      <c r="D423" s="2">
        <v>4770</v>
      </c>
      <c r="E423" s="2">
        <v>10869</v>
      </c>
      <c r="F423" s="2" t="s">
        <v>19</v>
      </c>
      <c r="G423" s="4" t="str">
        <f>IF('Expense Data'!E423&lt;='Expense Data'!D423,"On Budget","Over Budget")</f>
        <v>Over Budget</v>
      </c>
    </row>
    <row r="424" spans="1:7" x14ac:dyDescent="0.3">
      <c r="A424" s="3" t="s">
        <v>16</v>
      </c>
      <c r="B424" s="2" t="s">
        <v>23</v>
      </c>
      <c r="C424" s="2" t="s">
        <v>29</v>
      </c>
      <c r="D424" s="2">
        <v>8746</v>
      </c>
      <c r="E424" s="2">
        <v>8256</v>
      </c>
      <c r="F424" s="2" t="s">
        <v>15</v>
      </c>
      <c r="G424" s="4" t="str">
        <f>IF('Expense Data'!E424&lt;='Expense Data'!D424,"On Budget","Over Budget")</f>
        <v>On Budget</v>
      </c>
    </row>
    <row r="425" spans="1:7" x14ac:dyDescent="0.3">
      <c r="A425" s="3" t="s">
        <v>6</v>
      </c>
      <c r="B425" s="2" t="s">
        <v>7</v>
      </c>
      <c r="C425" s="2" t="s">
        <v>14</v>
      </c>
      <c r="D425" s="2">
        <v>1425</v>
      </c>
      <c r="E425" s="2">
        <v>9194</v>
      </c>
      <c r="F425" s="2" t="s">
        <v>12</v>
      </c>
      <c r="G425" s="4" t="str">
        <f>IF('Expense Data'!E425&lt;='Expense Data'!D425,"On Budget","Over Budget")</f>
        <v>Over Budget</v>
      </c>
    </row>
    <row r="426" spans="1:7" x14ac:dyDescent="0.3">
      <c r="A426" s="3" t="s">
        <v>22</v>
      </c>
      <c r="B426" s="2" t="s">
        <v>31</v>
      </c>
      <c r="C426" s="2" t="s">
        <v>24</v>
      </c>
      <c r="D426" s="2">
        <v>6268</v>
      </c>
      <c r="E426" s="2">
        <v>6863</v>
      </c>
      <c r="F426" s="2" t="s">
        <v>19</v>
      </c>
      <c r="G426" s="4" t="str">
        <f>IF('Expense Data'!E426&lt;='Expense Data'!D426,"On Budget","Over Budget")</f>
        <v>Over Budget</v>
      </c>
    </row>
    <row r="427" spans="1:7" x14ac:dyDescent="0.3">
      <c r="A427" s="3" t="s">
        <v>27</v>
      </c>
      <c r="B427" s="2" t="s">
        <v>35</v>
      </c>
      <c r="C427" s="2" t="s">
        <v>17</v>
      </c>
      <c r="D427" s="2">
        <v>2613</v>
      </c>
      <c r="E427" s="2">
        <v>2542</v>
      </c>
      <c r="F427" s="2" t="s">
        <v>19</v>
      </c>
      <c r="G427" s="4" t="str">
        <f>IF('Expense Data'!E427&lt;='Expense Data'!D427,"On Budget","Over Budget")</f>
        <v>On Budget</v>
      </c>
    </row>
    <row r="428" spans="1:7" x14ac:dyDescent="0.3">
      <c r="A428" s="3" t="s">
        <v>9</v>
      </c>
      <c r="B428" s="2" t="s">
        <v>25</v>
      </c>
      <c r="C428" s="2" t="s">
        <v>29</v>
      </c>
      <c r="D428" s="2">
        <v>9095</v>
      </c>
      <c r="E428" s="2">
        <v>4732</v>
      </c>
      <c r="F428" s="2" t="s">
        <v>12</v>
      </c>
      <c r="G428" s="4" t="str">
        <f>IF('Expense Data'!E428&lt;='Expense Data'!D428,"On Budget","Over Budget")</f>
        <v>On Budget</v>
      </c>
    </row>
    <row r="429" spans="1:7" x14ac:dyDescent="0.3">
      <c r="A429" s="3" t="s">
        <v>16</v>
      </c>
      <c r="B429" s="2" t="s">
        <v>10</v>
      </c>
      <c r="C429" s="2" t="s">
        <v>26</v>
      </c>
      <c r="D429" s="2">
        <v>9669</v>
      </c>
      <c r="E429" s="2">
        <v>7890</v>
      </c>
      <c r="F429" s="2" t="s">
        <v>19</v>
      </c>
      <c r="G429" s="4" t="str">
        <f>IF('Expense Data'!E429&lt;='Expense Data'!D429,"On Budget","Over Budget")</f>
        <v>On Budget</v>
      </c>
    </row>
    <row r="430" spans="1:7" x14ac:dyDescent="0.3">
      <c r="A430" s="3" t="s">
        <v>9</v>
      </c>
      <c r="B430" s="2" t="s">
        <v>10</v>
      </c>
      <c r="C430" s="2" t="s">
        <v>20</v>
      </c>
      <c r="D430" s="2">
        <v>5163</v>
      </c>
      <c r="E430" s="2">
        <v>3660</v>
      </c>
      <c r="F430" s="2" t="s">
        <v>19</v>
      </c>
      <c r="G430" s="4" t="str">
        <f>IF('Expense Data'!E430&lt;='Expense Data'!D430,"On Budget","Over Budget")</f>
        <v>On Budget</v>
      </c>
    </row>
    <row r="431" spans="1:7" x14ac:dyDescent="0.3">
      <c r="A431" s="3" t="s">
        <v>33</v>
      </c>
      <c r="B431" s="2" t="s">
        <v>10</v>
      </c>
      <c r="C431" s="2" t="s">
        <v>29</v>
      </c>
      <c r="D431" s="2">
        <v>6831</v>
      </c>
      <c r="E431" s="2">
        <v>5287</v>
      </c>
      <c r="F431" s="2" t="s">
        <v>36</v>
      </c>
      <c r="G431" s="4" t="str">
        <f>IF('Expense Data'!E431&lt;='Expense Data'!D431,"On Budget","Over Budget")</f>
        <v>On Budget</v>
      </c>
    </row>
    <row r="432" spans="1:7" x14ac:dyDescent="0.3">
      <c r="A432" s="3" t="s">
        <v>33</v>
      </c>
      <c r="B432" s="2" t="s">
        <v>25</v>
      </c>
      <c r="C432" s="2" t="s">
        <v>26</v>
      </c>
      <c r="D432" s="2">
        <v>1781</v>
      </c>
      <c r="E432" s="2">
        <v>5118</v>
      </c>
      <c r="F432" s="2" t="s">
        <v>36</v>
      </c>
      <c r="G432" s="4" t="str">
        <f>IF('Expense Data'!E432&lt;='Expense Data'!D432,"On Budget","Over Budget")</f>
        <v>Over Budget</v>
      </c>
    </row>
    <row r="433" spans="1:7" x14ac:dyDescent="0.3">
      <c r="A433" s="3" t="s">
        <v>13</v>
      </c>
      <c r="B433" s="2" t="s">
        <v>35</v>
      </c>
      <c r="C433" s="2" t="s">
        <v>20</v>
      </c>
      <c r="D433" s="2">
        <v>9572</v>
      </c>
      <c r="E433" s="2">
        <v>4180</v>
      </c>
      <c r="F433" s="2" t="s">
        <v>15</v>
      </c>
      <c r="G433" s="4" t="str">
        <f>IF('Expense Data'!E433&lt;='Expense Data'!D433,"On Budget","Over Budget")</f>
        <v>On Budget</v>
      </c>
    </row>
    <row r="434" spans="1:7" x14ac:dyDescent="0.3">
      <c r="A434" s="3" t="s">
        <v>22</v>
      </c>
      <c r="B434" s="2" t="s">
        <v>10</v>
      </c>
      <c r="C434" s="2" t="s">
        <v>29</v>
      </c>
      <c r="D434" s="2">
        <v>9038</v>
      </c>
      <c r="E434" s="2">
        <v>11675</v>
      </c>
      <c r="F434" s="2" t="s">
        <v>15</v>
      </c>
      <c r="G434" s="4" t="str">
        <f>IF('Expense Data'!E434&lt;='Expense Data'!D434,"On Budget","Over Budget")</f>
        <v>Over Budget</v>
      </c>
    </row>
    <row r="435" spans="1:7" x14ac:dyDescent="0.3">
      <c r="A435" s="3" t="s">
        <v>9</v>
      </c>
      <c r="B435" s="2" t="s">
        <v>23</v>
      </c>
      <c r="C435" s="2" t="s">
        <v>29</v>
      </c>
      <c r="D435" s="2">
        <v>6317</v>
      </c>
      <c r="E435" s="2">
        <v>8373</v>
      </c>
      <c r="F435" s="2" t="s">
        <v>19</v>
      </c>
      <c r="G435" s="4" t="str">
        <f>IF('Expense Data'!E435&lt;='Expense Data'!D435,"On Budget","Over Budget")</f>
        <v>Over Budget</v>
      </c>
    </row>
    <row r="436" spans="1:7" x14ac:dyDescent="0.3">
      <c r="A436" s="3" t="s">
        <v>16</v>
      </c>
      <c r="B436" s="2" t="s">
        <v>25</v>
      </c>
      <c r="C436" s="2" t="s">
        <v>24</v>
      </c>
      <c r="D436" s="2">
        <v>7932</v>
      </c>
      <c r="E436" s="2">
        <v>11043</v>
      </c>
      <c r="F436" s="2" t="s">
        <v>30</v>
      </c>
      <c r="G436" s="4" t="str">
        <f>IF('Expense Data'!E436&lt;='Expense Data'!D436,"On Budget","Over Budget")</f>
        <v>Over Budget</v>
      </c>
    </row>
    <row r="437" spans="1:7" x14ac:dyDescent="0.3">
      <c r="A437" s="3" t="s">
        <v>16</v>
      </c>
      <c r="B437" s="2" t="s">
        <v>35</v>
      </c>
      <c r="C437" s="2" t="s">
        <v>21</v>
      </c>
      <c r="D437" s="2">
        <v>9871</v>
      </c>
      <c r="E437" s="2">
        <v>6466</v>
      </c>
      <c r="F437" s="2" t="s">
        <v>36</v>
      </c>
      <c r="G437" s="4" t="str">
        <f>IF('Expense Data'!E437&lt;='Expense Data'!D437,"On Budget","Over Budget")</f>
        <v>On Budget</v>
      </c>
    </row>
    <row r="438" spans="1:7" x14ac:dyDescent="0.3">
      <c r="A438" s="3" t="s">
        <v>16</v>
      </c>
      <c r="B438" s="2" t="s">
        <v>28</v>
      </c>
      <c r="C438" s="2" t="s">
        <v>34</v>
      </c>
      <c r="D438" s="2">
        <v>2475</v>
      </c>
      <c r="E438" s="2">
        <v>4554</v>
      </c>
      <c r="F438" s="2" t="s">
        <v>15</v>
      </c>
      <c r="G438" s="4" t="str">
        <f>IF('Expense Data'!E438&lt;='Expense Data'!D438,"On Budget","Over Budget")</f>
        <v>Over Budget</v>
      </c>
    </row>
    <row r="439" spans="1:7" x14ac:dyDescent="0.3">
      <c r="A439" s="3" t="s">
        <v>27</v>
      </c>
      <c r="B439" s="2" t="s">
        <v>7</v>
      </c>
      <c r="C439" s="2" t="s">
        <v>8</v>
      </c>
      <c r="D439" s="2">
        <v>5429</v>
      </c>
      <c r="E439" s="2">
        <v>8338</v>
      </c>
      <c r="F439" s="2" t="s">
        <v>12</v>
      </c>
      <c r="G439" s="4" t="str">
        <f>IF('Expense Data'!E439&lt;='Expense Data'!D439,"On Budget","Over Budget")</f>
        <v>Over Budget</v>
      </c>
    </row>
    <row r="440" spans="1:7" x14ac:dyDescent="0.3">
      <c r="A440" s="3" t="s">
        <v>6</v>
      </c>
      <c r="B440" s="2" t="s">
        <v>7</v>
      </c>
      <c r="C440" s="2" t="s">
        <v>8</v>
      </c>
      <c r="D440" s="2">
        <v>5589</v>
      </c>
      <c r="E440" s="2">
        <v>7488</v>
      </c>
      <c r="F440" s="2" t="s">
        <v>36</v>
      </c>
      <c r="G440" s="4" t="str">
        <f>IF('Expense Data'!E440&lt;='Expense Data'!D440,"On Budget","Over Budget")</f>
        <v>Over Budget</v>
      </c>
    </row>
    <row r="441" spans="1:7" x14ac:dyDescent="0.3">
      <c r="A441" s="3" t="s">
        <v>27</v>
      </c>
      <c r="B441" s="2" t="s">
        <v>7</v>
      </c>
      <c r="C441" s="2" t="s">
        <v>34</v>
      </c>
      <c r="D441" s="2">
        <v>2318</v>
      </c>
      <c r="E441" s="2">
        <v>11633</v>
      </c>
      <c r="F441" s="2" t="s">
        <v>19</v>
      </c>
      <c r="G441" s="4" t="str">
        <f>IF('Expense Data'!E441&lt;='Expense Data'!D441,"On Budget","Over Budget")</f>
        <v>Over Budget</v>
      </c>
    </row>
    <row r="442" spans="1:7" x14ac:dyDescent="0.3">
      <c r="A442" s="3" t="s">
        <v>22</v>
      </c>
      <c r="B442" s="2" t="s">
        <v>7</v>
      </c>
      <c r="C442" s="2" t="s">
        <v>18</v>
      </c>
      <c r="D442" s="2">
        <v>9669</v>
      </c>
      <c r="E442" s="2">
        <v>6073</v>
      </c>
      <c r="F442" s="2" t="s">
        <v>12</v>
      </c>
      <c r="G442" s="4" t="str">
        <f>IF('Expense Data'!E442&lt;='Expense Data'!D442,"On Budget","Over Budget")</f>
        <v>On Budget</v>
      </c>
    </row>
    <row r="443" spans="1:7" x14ac:dyDescent="0.3">
      <c r="A443" s="3" t="s">
        <v>27</v>
      </c>
      <c r="B443" s="2" t="s">
        <v>31</v>
      </c>
      <c r="C443" s="2" t="s">
        <v>11</v>
      </c>
      <c r="D443" s="2">
        <v>4450</v>
      </c>
      <c r="E443" s="2">
        <v>7714</v>
      </c>
      <c r="F443" s="2" t="s">
        <v>36</v>
      </c>
      <c r="G443" s="4" t="str">
        <f>IF('Expense Data'!E443&lt;='Expense Data'!D443,"On Budget","Over Budget")</f>
        <v>Over Budget</v>
      </c>
    </row>
    <row r="444" spans="1:7" x14ac:dyDescent="0.3">
      <c r="A444" s="3" t="s">
        <v>13</v>
      </c>
      <c r="B444" s="2" t="s">
        <v>23</v>
      </c>
      <c r="C444" s="2" t="s">
        <v>34</v>
      </c>
      <c r="D444" s="2">
        <v>5464</v>
      </c>
      <c r="E444" s="2">
        <v>1674</v>
      </c>
      <c r="F444" s="2" t="s">
        <v>15</v>
      </c>
      <c r="G444" s="4" t="str">
        <f>IF('Expense Data'!E444&lt;='Expense Data'!D444,"On Budget","Over Budget")</f>
        <v>On Budget</v>
      </c>
    </row>
    <row r="445" spans="1:7" x14ac:dyDescent="0.3">
      <c r="A445" s="3" t="s">
        <v>6</v>
      </c>
      <c r="B445" s="2" t="s">
        <v>10</v>
      </c>
      <c r="C445" s="2" t="s">
        <v>17</v>
      </c>
      <c r="D445" s="2">
        <v>6383</v>
      </c>
      <c r="E445" s="2">
        <v>3376</v>
      </c>
      <c r="F445" s="2" t="s">
        <v>19</v>
      </c>
      <c r="G445" s="4" t="str">
        <f>IF('Expense Data'!E445&lt;='Expense Data'!D445,"On Budget","Over Budget")</f>
        <v>On Budget</v>
      </c>
    </row>
    <row r="446" spans="1:7" x14ac:dyDescent="0.3">
      <c r="A446" s="3" t="s">
        <v>9</v>
      </c>
      <c r="B446" s="2" t="s">
        <v>31</v>
      </c>
      <c r="C446" s="2" t="s">
        <v>26</v>
      </c>
      <c r="D446" s="2">
        <v>3171</v>
      </c>
      <c r="E446" s="2">
        <v>6967</v>
      </c>
      <c r="F446" s="2" t="s">
        <v>30</v>
      </c>
      <c r="G446" s="4" t="str">
        <f>IF('Expense Data'!E446&lt;='Expense Data'!D446,"On Budget","Over Budget")</f>
        <v>Over Budget</v>
      </c>
    </row>
    <row r="447" spans="1:7" x14ac:dyDescent="0.3">
      <c r="A447" s="3" t="s">
        <v>22</v>
      </c>
      <c r="B447" s="2" t="s">
        <v>35</v>
      </c>
      <c r="C447" s="2" t="s">
        <v>34</v>
      </c>
      <c r="D447" s="2">
        <v>8152</v>
      </c>
      <c r="E447" s="2">
        <v>2121</v>
      </c>
      <c r="F447" s="2" t="s">
        <v>12</v>
      </c>
      <c r="G447" s="4" t="str">
        <f>IF('Expense Data'!E447&lt;='Expense Data'!D447,"On Budget","Over Budget")</f>
        <v>On Budget</v>
      </c>
    </row>
    <row r="448" spans="1:7" x14ac:dyDescent="0.3">
      <c r="A448" s="3" t="s">
        <v>27</v>
      </c>
      <c r="B448" s="2" t="s">
        <v>35</v>
      </c>
      <c r="C448" s="2" t="s">
        <v>18</v>
      </c>
      <c r="D448" s="2">
        <v>2007</v>
      </c>
      <c r="E448" s="2">
        <v>11357</v>
      </c>
      <c r="F448" s="2" t="s">
        <v>15</v>
      </c>
      <c r="G448" s="4" t="str">
        <f>IF('Expense Data'!E448&lt;='Expense Data'!D448,"On Budget","Over Budget")</f>
        <v>Over Budget</v>
      </c>
    </row>
    <row r="449" spans="1:7" x14ac:dyDescent="0.3">
      <c r="A449" s="3" t="s">
        <v>22</v>
      </c>
      <c r="B449" s="2" t="s">
        <v>28</v>
      </c>
      <c r="C449" s="2" t="s">
        <v>17</v>
      </c>
      <c r="D449" s="2">
        <v>1084</v>
      </c>
      <c r="E449" s="2">
        <v>5008</v>
      </c>
      <c r="F449" s="2" t="s">
        <v>19</v>
      </c>
      <c r="G449" s="4" t="str">
        <f>IF('Expense Data'!E449&lt;='Expense Data'!D449,"On Budget","Over Budget")</f>
        <v>Over Budget</v>
      </c>
    </row>
    <row r="450" spans="1:7" x14ac:dyDescent="0.3">
      <c r="A450" s="3" t="s">
        <v>13</v>
      </c>
      <c r="B450" s="2" t="s">
        <v>7</v>
      </c>
      <c r="C450" s="2" t="s">
        <v>34</v>
      </c>
      <c r="D450" s="2">
        <v>3210</v>
      </c>
      <c r="E450" s="2">
        <v>5702</v>
      </c>
      <c r="F450" s="2" t="s">
        <v>15</v>
      </c>
      <c r="G450" s="4" t="str">
        <f>IF('Expense Data'!E450&lt;='Expense Data'!D450,"On Budget","Over Budget")</f>
        <v>Over Budget</v>
      </c>
    </row>
    <row r="451" spans="1:7" x14ac:dyDescent="0.3">
      <c r="A451" s="3" t="s">
        <v>27</v>
      </c>
      <c r="B451" s="2" t="s">
        <v>10</v>
      </c>
      <c r="C451" s="2" t="s">
        <v>17</v>
      </c>
      <c r="D451" s="2">
        <v>1501</v>
      </c>
      <c r="E451" s="2">
        <v>7355</v>
      </c>
      <c r="F451" s="2" t="s">
        <v>12</v>
      </c>
      <c r="G451" s="4" t="str">
        <f>IF('Expense Data'!E451&lt;='Expense Data'!D451,"On Budget","Over Budget")</f>
        <v>Over Budget</v>
      </c>
    </row>
    <row r="452" spans="1:7" x14ac:dyDescent="0.3">
      <c r="A452" s="3" t="s">
        <v>33</v>
      </c>
      <c r="B452" s="2" t="s">
        <v>31</v>
      </c>
      <c r="C452" s="2" t="s">
        <v>17</v>
      </c>
      <c r="D452" s="2">
        <v>4246</v>
      </c>
      <c r="E452" s="2">
        <v>11701</v>
      </c>
      <c r="F452" s="2" t="s">
        <v>30</v>
      </c>
      <c r="G452" s="4" t="str">
        <f>IF('Expense Data'!E452&lt;='Expense Data'!D452,"On Budget","Over Budget")</f>
        <v>Over Budget</v>
      </c>
    </row>
    <row r="453" spans="1:7" x14ac:dyDescent="0.3">
      <c r="A453" s="3" t="s">
        <v>27</v>
      </c>
      <c r="B453" s="2" t="s">
        <v>28</v>
      </c>
      <c r="C453" s="2" t="s">
        <v>18</v>
      </c>
      <c r="D453" s="2">
        <v>8281</v>
      </c>
      <c r="E453" s="2">
        <v>10423</v>
      </c>
      <c r="F453" s="2" t="s">
        <v>12</v>
      </c>
      <c r="G453" s="4" t="str">
        <f>IF('Expense Data'!E453&lt;='Expense Data'!D453,"On Budget","Over Budget")</f>
        <v>Over Budget</v>
      </c>
    </row>
    <row r="454" spans="1:7" x14ac:dyDescent="0.3">
      <c r="A454" s="3" t="s">
        <v>13</v>
      </c>
      <c r="B454" s="2" t="s">
        <v>7</v>
      </c>
      <c r="C454" s="2" t="s">
        <v>14</v>
      </c>
      <c r="D454" s="2">
        <v>3380</v>
      </c>
      <c r="E454" s="2">
        <v>11796</v>
      </c>
      <c r="F454" s="2" t="s">
        <v>12</v>
      </c>
      <c r="G454" s="4" t="str">
        <f>IF('Expense Data'!E454&lt;='Expense Data'!D454,"On Budget","Over Budget")</f>
        <v>Over Budget</v>
      </c>
    </row>
    <row r="455" spans="1:7" x14ac:dyDescent="0.3">
      <c r="A455" s="3" t="s">
        <v>6</v>
      </c>
      <c r="B455" s="2" t="s">
        <v>28</v>
      </c>
      <c r="C455" s="2" t="s">
        <v>11</v>
      </c>
      <c r="D455" s="2">
        <v>7645</v>
      </c>
      <c r="E455" s="2">
        <v>1301</v>
      </c>
      <c r="F455" s="2" t="s">
        <v>19</v>
      </c>
      <c r="G455" s="4" t="str">
        <f>IF('Expense Data'!E455&lt;='Expense Data'!D455,"On Budget","Over Budget")</f>
        <v>On Budget</v>
      </c>
    </row>
    <row r="456" spans="1:7" x14ac:dyDescent="0.3">
      <c r="A456" s="3" t="s">
        <v>16</v>
      </c>
      <c r="B456" s="2" t="s">
        <v>31</v>
      </c>
      <c r="C456" s="2" t="s">
        <v>21</v>
      </c>
      <c r="D456" s="2">
        <v>7758</v>
      </c>
      <c r="E456" s="2">
        <v>1404</v>
      </c>
      <c r="F456" s="2" t="s">
        <v>36</v>
      </c>
      <c r="G456" s="4" t="str">
        <f>IF('Expense Data'!E456&lt;='Expense Data'!D456,"On Budget","Over Budget")</f>
        <v>On Budget</v>
      </c>
    </row>
    <row r="457" spans="1:7" x14ac:dyDescent="0.3">
      <c r="A457" s="3" t="s">
        <v>9</v>
      </c>
      <c r="B457" s="2" t="s">
        <v>10</v>
      </c>
      <c r="C457" s="2" t="s">
        <v>21</v>
      </c>
      <c r="D457" s="2">
        <v>3058</v>
      </c>
      <c r="E457" s="2">
        <v>4818</v>
      </c>
      <c r="F457" s="2" t="s">
        <v>12</v>
      </c>
      <c r="G457" s="4" t="str">
        <f>IF('Expense Data'!E457&lt;='Expense Data'!D457,"On Budget","Over Budget")</f>
        <v>Over Budget</v>
      </c>
    </row>
    <row r="458" spans="1:7" x14ac:dyDescent="0.3">
      <c r="A458" s="3" t="s">
        <v>6</v>
      </c>
      <c r="B458" s="2" t="s">
        <v>10</v>
      </c>
      <c r="C458" s="2" t="s">
        <v>8</v>
      </c>
      <c r="D458" s="2">
        <v>5798</v>
      </c>
      <c r="E458" s="2">
        <v>1833</v>
      </c>
      <c r="F458" s="2" t="s">
        <v>36</v>
      </c>
      <c r="G458" s="4" t="str">
        <f>IF('Expense Data'!E458&lt;='Expense Data'!D458,"On Budget","Over Budget")</f>
        <v>On Budget</v>
      </c>
    </row>
    <row r="459" spans="1:7" x14ac:dyDescent="0.3">
      <c r="A459" s="3" t="s">
        <v>33</v>
      </c>
      <c r="B459" s="2" t="s">
        <v>31</v>
      </c>
      <c r="C459" s="2" t="s">
        <v>20</v>
      </c>
      <c r="D459" s="2">
        <v>5827</v>
      </c>
      <c r="E459" s="2">
        <v>3418</v>
      </c>
      <c r="F459" s="2" t="s">
        <v>19</v>
      </c>
      <c r="G459" s="4" t="str">
        <f>IF('Expense Data'!E459&lt;='Expense Data'!D459,"On Budget","Over Budget")</f>
        <v>On Budget</v>
      </c>
    </row>
    <row r="460" spans="1:7" x14ac:dyDescent="0.3">
      <c r="A460" s="3" t="s">
        <v>6</v>
      </c>
      <c r="B460" s="2" t="s">
        <v>28</v>
      </c>
      <c r="C460" s="2" t="s">
        <v>20</v>
      </c>
      <c r="D460" s="2">
        <v>1353</v>
      </c>
      <c r="E460" s="2">
        <v>5797</v>
      </c>
      <c r="F460" s="2" t="s">
        <v>30</v>
      </c>
      <c r="G460" s="4" t="str">
        <f>IF('Expense Data'!E460&lt;='Expense Data'!D460,"On Budget","Over Budget")</f>
        <v>Over Budget</v>
      </c>
    </row>
    <row r="461" spans="1:7" x14ac:dyDescent="0.3">
      <c r="A461" s="3" t="s">
        <v>33</v>
      </c>
      <c r="B461" s="2" t="s">
        <v>7</v>
      </c>
      <c r="C461" s="2" t="s">
        <v>32</v>
      </c>
      <c r="D461" s="2">
        <v>7071</v>
      </c>
      <c r="E461" s="2">
        <v>4164</v>
      </c>
      <c r="F461" s="2" t="s">
        <v>30</v>
      </c>
      <c r="G461" s="4" t="str">
        <f>IF('Expense Data'!E461&lt;='Expense Data'!D461,"On Budget","Over Budget")</f>
        <v>On Budget</v>
      </c>
    </row>
    <row r="462" spans="1:7" x14ac:dyDescent="0.3">
      <c r="A462" s="3" t="s">
        <v>13</v>
      </c>
      <c r="B462" s="2" t="s">
        <v>25</v>
      </c>
      <c r="C462" s="2" t="s">
        <v>34</v>
      </c>
      <c r="D462" s="2">
        <v>6269</v>
      </c>
      <c r="E462" s="2">
        <v>2736</v>
      </c>
      <c r="F462" s="2" t="s">
        <v>19</v>
      </c>
      <c r="G462" s="4" t="str">
        <f>IF('Expense Data'!E462&lt;='Expense Data'!D462,"On Budget","Over Budget")</f>
        <v>On Budget</v>
      </c>
    </row>
    <row r="463" spans="1:7" x14ac:dyDescent="0.3">
      <c r="A463" s="3" t="s">
        <v>9</v>
      </c>
      <c r="B463" s="2" t="s">
        <v>23</v>
      </c>
      <c r="C463" s="2" t="s">
        <v>8</v>
      </c>
      <c r="D463" s="2">
        <v>8006</v>
      </c>
      <c r="E463" s="2">
        <v>2783</v>
      </c>
      <c r="F463" s="2" t="s">
        <v>15</v>
      </c>
      <c r="G463" s="4" t="str">
        <f>IF('Expense Data'!E463&lt;='Expense Data'!D463,"On Budget","Over Budget")</f>
        <v>On Budget</v>
      </c>
    </row>
    <row r="464" spans="1:7" x14ac:dyDescent="0.3">
      <c r="A464" s="3" t="s">
        <v>9</v>
      </c>
      <c r="B464" s="2" t="s">
        <v>25</v>
      </c>
      <c r="C464" s="2" t="s">
        <v>26</v>
      </c>
      <c r="D464" s="2">
        <v>6914</v>
      </c>
      <c r="E464" s="2">
        <v>6681</v>
      </c>
      <c r="F464" s="2" t="s">
        <v>30</v>
      </c>
      <c r="G464" s="4" t="str">
        <f>IF('Expense Data'!E464&lt;='Expense Data'!D464,"On Budget","Over Budget")</f>
        <v>On Budget</v>
      </c>
    </row>
    <row r="465" spans="1:7" x14ac:dyDescent="0.3">
      <c r="A465" s="3" t="s">
        <v>9</v>
      </c>
      <c r="B465" s="2" t="s">
        <v>25</v>
      </c>
      <c r="C465" s="2" t="s">
        <v>24</v>
      </c>
      <c r="D465" s="2">
        <v>1957</v>
      </c>
      <c r="E465" s="2">
        <v>4990</v>
      </c>
      <c r="F465" s="2" t="s">
        <v>30</v>
      </c>
      <c r="G465" s="4" t="str">
        <f>IF('Expense Data'!E465&lt;='Expense Data'!D465,"On Budget","Over Budget")</f>
        <v>Over Budget</v>
      </c>
    </row>
    <row r="466" spans="1:7" x14ac:dyDescent="0.3">
      <c r="A466" s="3" t="s">
        <v>6</v>
      </c>
      <c r="B466" s="2" t="s">
        <v>31</v>
      </c>
      <c r="C466" s="2" t="s">
        <v>26</v>
      </c>
      <c r="D466" s="2">
        <v>6803</v>
      </c>
      <c r="E466" s="2">
        <v>1195</v>
      </c>
      <c r="F466" s="2" t="s">
        <v>15</v>
      </c>
      <c r="G466" s="4" t="str">
        <f>IF('Expense Data'!E466&lt;='Expense Data'!D466,"On Budget","Over Budget")</f>
        <v>On Budget</v>
      </c>
    </row>
    <row r="467" spans="1:7" x14ac:dyDescent="0.3">
      <c r="A467" s="3" t="s">
        <v>22</v>
      </c>
      <c r="B467" s="2" t="s">
        <v>7</v>
      </c>
      <c r="C467" s="2" t="s">
        <v>26</v>
      </c>
      <c r="D467" s="2">
        <v>8063</v>
      </c>
      <c r="E467" s="2">
        <v>9253</v>
      </c>
      <c r="F467" s="2" t="s">
        <v>30</v>
      </c>
      <c r="G467" s="4" t="str">
        <f>IF('Expense Data'!E467&lt;='Expense Data'!D467,"On Budget","Over Budget")</f>
        <v>Over Budget</v>
      </c>
    </row>
    <row r="468" spans="1:7" x14ac:dyDescent="0.3">
      <c r="A468" s="3" t="s">
        <v>6</v>
      </c>
      <c r="B468" s="2" t="s">
        <v>23</v>
      </c>
      <c r="C468" s="2" t="s">
        <v>17</v>
      </c>
      <c r="D468" s="2">
        <v>1143</v>
      </c>
      <c r="E468" s="2">
        <v>10601</v>
      </c>
      <c r="F468" s="2" t="s">
        <v>19</v>
      </c>
      <c r="G468" s="4" t="str">
        <f>IF('Expense Data'!E468&lt;='Expense Data'!D468,"On Budget","Over Budget")</f>
        <v>Over Budget</v>
      </c>
    </row>
    <row r="469" spans="1:7" x14ac:dyDescent="0.3">
      <c r="A469" s="3" t="s">
        <v>27</v>
      </c>
      <c r="B469" s="2" t="s">
        <v>25</v>
      </c>
      <c r="C469" s="2" t="s">
        <v>24</v>
      </c>
      <c r="D469" s="2">
        <v>7332</v>
      </c>
      <c r="E469" s="2">
        <v>8355</v>
      </c>
      <c r="F469" s="2" t="s">
        <v>19</v>
      </c>
      <c r="G469" s="4" t="str">
        <f>IF('Expense Data'!E469&lt;='Expense Data'!D469,"On Budget","Over Budget")</f>
        <v>Over Budget</v>
      </c>
    </row>
    <row r="470" spans="1:7" x14ac:dyDescent="0.3">
      <c r="A470" s="3" t="s">
        <v>6</v>
      </c>
      <c r="B470" s="2" t="s">
        <v>23</v>
      </c>
      <c r="C470" s="2" t="s">
        <v>34</v>
      </c>
      <c r="D470" s="2">
        <v>7955</v>
      </c>
      <c r="E470" s="2">
        <v>1038</v>
      </c>
      <c r="F470" s="2" t="s">
        <v>15</v>
      </c>
      <c r="G470" s="4" t="str">
        <f>IF('Expense Data'!E470&lt;='Expense Data'!D470,"On Budget","Over Budget")</f>
        <v>On Budget</v>
      </c>
    </row>
    <row r="471" spans="1:7" x14ac:dyDescent="0.3">
      <c r="A471" s="3" t="s">
        <v>13</v>
      </c>
      <c r="B471" s="2" t="s">
        <v>28</v>
      </c>
      <c r="C471" s="2" t="s">
        <v>26</v>
      </c>
      <c r="D471" s="2">
        <v>7477</v>
      </c>
      <c r="E471" s="2">
        <v>2714</v>
      </c>
      <c r="F471" s="2" t="s">
        <v>36</v>
      </c>
      <c r="G471" s="4" t="str">
        <f>IF('Expense Data'!E471&lt;='Expense Data'!D471,"On Budget","Over Budget")</f>
        <v>On Budget</v>
      </c>
    </row>
    <row r="472" spans="1:7" x14ac:dyDescent="0.3">
      <c r="A472" s="3" t="s">
        <v>33</v>
      </c>
      <c r="B472" s="2" t="s">
        <v>10</v>
      </c>
      <c r="C472" s="2" t="s">
        <v>17</v>
      </c>
      <c r="D472" s="2">
        <v>1696</v>
      </c>
      <c r="E472" s="2">
        <v>6119</v>
      </c>
      <c r="F472" s="2" t="s">
        <v>15</v>
      </c>
      <c r="G472" s="4" t="str">
        <f>IF('Expense Data'!E472&lt;='Expense Data'!D472,"On Budget","Over Budget")</f>
        <v>Over Budget</v>
      </c>
    </row>
    <row r="473" spans="1:7" x14ac:dyDescent="0.3">
      <c r="A473" s="3" t="s">
        <v>16</v>
      </c>
      <c r="B473" s="2" t="s">
        <v>7</v>
      </c>
      <c r="C473" s="2" t="s">
        <v>32</v>
      </c>
      <c r="D473" s="2">
        <v>6900</v>
      </c>
      <c r="E473" s="2">
        <v>8010</v>
      </c>
      <c r="F473" s="2" t="s">
        <v>19</v>
      </c>
      <c r="G473" s="4" t="str">
        <f>IF('Expense Data'!E473&lt;='Expense Data'!D473,"On Budget","Over Budget")</f>
        <v>Over Budget</v>
      </c>
    </row>
    <row r="474" spans="1:7" x14ac:dyDescent="0.3">
      <c r="A474" s="3" t="s">
        <v>16</v>
      </c>
      <c r="B474" s="2" t="s">
        <v>10</v>
      </c>
      <c r="C474" s="2" t="s">
        <v>14</v>
      </c>
      <c r="D474" s="2">
        <v>6130</v>
      </c>
      <c r="E474" s="2">
        <v>11438</v>
      </c>
      <c r="F474" s="2" t="s">
        <v>30</v>
      </c>
      <c r="G474" s="4" t="str">
        <f>IF('Expense Data'!E474&lt;='Expense Data'!D474,"On Budget","Over Budget")</f>
        <v>Over Budget</v>
      </c>
    </row>
    <row r="475" spans="1:7" x14ac:dyDescent="0.3">
      <c r="A475" s="3" t="s">
        <v>33</v>
      </c>
      <c r="B475" s="2" t="s">
        <v>23</v>
      </c>
      <c r="C475" s="2" t="s">
        <v>14</v>
      </c>
      <c r="D475" s="2">
        <v>8178</v>
      </c>
      <c r="E475" s="2">
        <v>9511</v>
      </c>
      <c r="F475" s="2" t="s">
        <v>15</v>
      </c>
      <c r="G475" s="4" t="str">
        <f>IF('Expense Data'!E475&lt;='Expense Data'!D475,"On Budget","Over Budget")</f>
        <v>Over Budget</v>
      </c>
    </row>
    <row r="476" spans="1:7" x14ac:dyDescent="0.3">
      <c r="A476" s="3" t="s">
        <v>27</v>
      </c>
      <c r="B476" s="2" t="s">
        <v>35</v>
      </c>
      <c r="C476" s="2" t="s">
        <v>8</v>
      </c>
      <c r="D476" s="2">
        <v>3994</v>
      </c>
      <c r="E476" s="2">
        <v>1829</v>
      </c>
      <c r="F476" s="2" t="s">
        <v>12</v>
      </c>
      <c r="G476" s="4" t="str">
        <f>IF('Expense Data'!E476&lt;='Expense Data'!D476,"On Budget","Over Budget")</f>
        <v>On Budget</v>
      </c>
    </row>
    <row r="477" spans="1:7" x14ac:dyDescent="0.3">
      <c r="A477" s="3" t="s">
        <v>13</v>
      </c>
      <c r="B477" s="2" t="s">
        <v>35</v>
      </c>
      <c r="C477" s="2" t="s">
        <v>32</v>
      </c>
      <c r="D477" s="2">
        <v>3737</v>
      </c>
      <c r="E477" s="2">
        <v>8005</v>
      </c>
      <c r="F477" s="2" t="s">
        <v>36</v>
      </c>
      <c r="G477" s="4" t="str">
        <f>IF('Expense Data'!E477&lt;='Expense Data'!D477,"On Budget","Over Budget")</f>
        <v>Over Budget</v>
      </c>
    </row>
    <row r="478" spans="1:7" x14ac:dyDescent="0.3">
      <c r="A478" s="3" t="s">
        <v>13</v>
      </c>
      <c r="B478" s="2" t="s">
        <v>28</v>
      </c>
      <c r="C478" s="2" t="s">
        <v>8</v>
      </c>
      <c r="D478" s="2">
        <v>6107</v>
      </c>
      <c r="E478" s="2">
        <v>2584</v>
      </c>
      <c r="F478" s="2" t="s">
        <v>36</v>
      </c>
      <c r="G478" s="4" t="str">
        <f>IF('Expense Data'!E478&lt;='Expense Data'!D478,"On Budget","Over Budget")</f>
        <v>On Budget</v>
      </c>
    </row>
    <row r="479" spans="1:7" x14ac:dyDescent="0.3">
      <c r="A479" s="3" t="s">
        <v>13</v>
      </c>
      <c r="B479" s="2" t="s">
        <v>23</v>
      </c>
      <c r="C479" s="2" t="s">
        <v>17</v>
      </c>
      <c r="D479" s="2">
        <v>7651</v>
      </c>
      <c r="E479" s="2">
        <v>5056</v>
      </c>
      <c r="F479" s="2" t="s">
        <v>30</v>
      </c>
      <c r="G479" s="4" t="str">
        <f>IF('Expense Data'!E479&lt;='Expense Data'!D479,"On Budget","Over Budget")</f>
        <v>On Budget</v>
      </c>
    </row>
    <row r="480" spans="1:7" x14ac:dyDescent="0.3">
      <c r="A480" s="3" t="s">
        <v>6</v>
      </c>
      <c r="B480" s="2" t="s">
        <v>31</v>
      </c>
      <c r="C480" s="2" t="s">
        <v>14</v>
      </c>
      <c r="D480" s="2">
        <v>8276</v>
      </c>
      <c r="E480" s="2">
        <v>4762</v>
      </c>
      <c r="F480" s="2" t="s">
        <v>30</v>
      </c>
      <c r="G480" s="4" t="str">
        <f>IF('Expense Data'!E480&lt;='Expense Data'!D480,"On Budget","Over Budget")</f>
        <v>On Budget</v>
      </c>
    </row>
    <row r="481" spans="1:7" x14ac:dyDescent="0.3">
      <c r="A481" s="3" t="s">
        <v>16</v>
      </c>
      <c r="B481" s="2" t="s">
        <v>7</v>
      </c>
      <c r="C481" s="2" t="s">
        <v>20</v>
      </c>
      <c r="D481" s="2">
        <v>2705</v>
      </c>
      <c r="E481" s="2">
        <v>6795</v>
      </c>
      <c r="F481" s="2" t="s">
        <v>15</v>
      </c>
      <c r="G481" s="4" t="str">
        <f>IF('Expense Data'!E481&lt;='Expense Data'!D481,"On Budget","Over Budget")</f>
        <v>Over Budget</v>
      </c>
    </row>
    <row r="482" spans="1:7" x14ac:dyDescent="0.3">
      <c r="A482" s="3" t="s">
        <v>27</v>
      </c>
      <c r="B482" s="2" t="s">
        <v>10</v>
      </c>
      <c r="C482" s="2" t="s">
        <v>14</v>
      </c>
      <c r="D482" s="2">
        <v>1579</v>
      </c>
      <c r="E482" s="2">
        <v>5194</v>
      </c>
      <c r="F482" s="2" t="s">
        <v>30</v>
      </c>
      <c r="G482" s="4" t="str">
        <f>IF('Expense Data'!E482&lt;='Expense Data'!D482,"On Budget","Over Budget")</f>
        <v>Over Budget</v>
      </c>
    </row>
    <row r="483" spans="1:7" x14ac:dyDescent="0.3">
      <c r="A483" s="3" t="s">
        <v>6</v>
      </c>
      <c r="B483" s="2" t="s">
        <v>25</v>
      </c>
      <c r="C483" s="2" t="s">
        <v>26</v>
      </c>
      <c r="D483" s="2">
        <v>7507</v>
      </c>
      <c r="E483" s="2">
        <v>8572</v>
      </c>
      <c r="F483" s="2" t="s">
        <v>19</v>
      </c>
      <c r="G483" s="4" t="str">
        <f>IF('Expense Data'!E483&lt;='Expense Data'!D483,"On Budget","Over Budget")</f>
        <v>Over Budget</v>
      </c>
    </row>
    <row r="484" spans="1:7" x14ac:dyDescent="0.3">
      <c r="A484" s="3" t="s">
        <v>33</v>
      </c>
      <c r="B484" s="2" t="s">
        <v>7</v>
      </c>
      <c r="C484" s="2" t="s">
        <v>20</v>
      </c>
      <c r="D484" s="2">
        <v>1308</v>
      </c>
      <c r="E484" s="2">
        <v>5012</v>
      </c>
      <c r="F484" s="2" t="s">
        <v>30</v>
      </c>
      <c r="G484" s="4" t="str">
        <f>IF('Expense Data'!E484&lt;='Expense Data'!D484,"On Budget","Over Budget")</f>
        <v>Over Budget</v>
      </c>
    </row>
    <row r="485" spans="1:7" x14ac:dyDescent="0.3">
      <c r="A485" s="3" t="s">
        <v>9</v>
      </c>
      <c r="B485" s="2" t="s">
        <v>31</v>
      </c>
      <c r="C485" s="2" t="s">
        <v>29</v>
      </c>
      <c r="D485" s="2">
        <v>5888</v>
      </c>
      <c r="E485" s="2">
        <v>4554</v>
      </c>
      <c r="F485" s="2" t="s">
        <v>36</v>
      </c>
      <c r="G485" s="4" t="str">
        <f>IF('Expense Data'!E485&lt;='Expense Data'!D485,"On Budget","Over Budget")</f>
        <v>On Budget</v>
      </c>
    </row>
    <row r="486" spans="1:7" x14ac:dyDescent="0.3">
      <c r="A486" s="3" t="s">
        <v>13</v>
      </c>
      <c r="B486" s="2" t="s">
        <v>28</v>
      </c>
      <c r="C486" s="2" t="s">
        <v>24</v>
      </c>
      <c r="D486" s="2">
        <v>2573</v>
      </c>
      <c r="E486" s="2">
        <v>4130</v>
      </c>
      <c r="F486" s="2" t="s">
        <v>30</v>
      </c>
      <c r="G486" s="4" t="str">
        <f>IF('Expense Data'!E486&lt;='Expense Data'!D486,"On Budget","Over Budget")</f>
        <v>Over Budget</v>
      </c>
    </row>
    <row r="487" spans="1:7" x14ac:dyDescent="0.3">
      <c r="A487" s="3" t="s">
        <v>33</v>
      </c>
      <c r="B487" s="2" t="s">
        <v>35</v>
      </c>
      <c r="C487" s="2" t="s">
        <v>21</v>
      </c>
      <c r="D487" s="2">
        <v>9654</v>
      </c>
      <c r="E487" s="2">
        <v>5760</v>
      </c>
      <c r="F487" s="2" t="s">
        <v>30</v>
      </c>
      <c r="G487" s="4" t="str">
        <f>IF('Expense Data'!E487&lt;='Expense Data'!D487,"On Budget","Over Budget")</f>
        <v>On Budget</v>
      </c>
    </row>
    <row r="488" spans="1:7" x14ac:dyDescent="0.3">
      <c r="A488" s="3" t="s">
        <v>22</v>
      </c>
      <c r="B488" s="2" t="s">
        <v>25</v>
      </c>
      <c r="C488" s="2" t="s">
        <v>11</v>
      </c>
      <c r="D488" s="2">
        <v>8458</v>
      </c>
      <c r="E488" s="2">
        <v>4565</v>
      </c>
      <c r="F488" s="2" t="s">
        <v>15</v>
      </c>
      <c r="G488" s="4" t="str">
        <f>IF('Expense Data'!E488&lt;='Expense Data'!D488,"On Budget","Over Budget")</f>
        <v>On Budget</v>
      </c>
    </row>
    <row r="489" spans="1:7" x14ac:dyDescent="0.3">
      <c r="A489" s="3" t="s">
        <v>16</v>
      </c>
      <c r="B489" s="2" t="s">
        <v>10</v>
      </c>
      <c r="C489" s="2" t="s">
        <v>21</v>
      </c>
      <c r="D489" s="2">
        <v>6875</v>
      </c>
      <c r="E489" s="2">
        <v>3905</v>
      </c>
      <c r="F489" s="2" t="s">
        <v>36</v>
      </c>
      <c r="G489" s="4" t="str">
        <f>IF('Expense Data'!E489&lt;='Expense Data'!D489,"On Budget","Over Budget")</f>
        <v>On Budget</v>
      </c>
    </row>
    <row r="490" spans="1:7" x14ac:dyDescent="0.3">
      <c r="A490" s="3" t="s">
        <v>27</v>
      </c>
      <c r="B490" s="2" t="s">
        <v>7</v>
      </c>
      <c r="C490" s="2" t="s">
        <v>29</v>
      </c>
      <c r="D490" s="2">
        <v>8199</v>
      </c>
      <c r="E490" s="2">
        <v>2334</v>
      </c>
      <c r="F490" s="2" t="s">
        <v>15</v>
      </c>
      <c r="G490" s="4" t="str">
        <f>IF('Expense Data'!E490&lt;='Expense Data'!D490,"On Budget","Over Budget")</f>
        <v>On Budget</v>
      </c>
    </row>
    <row r="491" spans="1:7" x14ac:dyDescent="0.3">
      <c r="A491" s="3" t="s">
        <v>33</v>
      </c>
      <c r="B491" s="2" t="s">
        <v>28</v>
      </c>
      <c r="C491" s="2" t="s">
        <v>34</v>
      </c>
      <c r="D491" s="2">
        <v>3506</v>
      </c>
      <c r="E491" s="2">
        <v>10767</v>
      </c>
      <c r="F491" s="2" t="s">
        <v>19</v>
      </c>
      <c r="G491" s="4" t="str">
        <f>IF('Expense Data'!E491&lt;='Expense Data'!D491,"On Budget","Over Budget")</f>
        <v>Over Budget</v>
      </c>
    </row>
    <row r="492" spans="1:7" x14ac:dyDescent="0.3">
      <c r="A492" s="3" t="s">
        <v>27</v>
      </c>
      <c r="B492" s="2" t="s">
        <v>25</v>
      </c>
      <c r="C492" s="2" t="s">
        <v>26</v>
      </c>
      <c r="D492" s="2">
        <v>8504</v>
      </c>
      <c r="E492" s="2">
        <v>7247</v>
      </c>
      <c r="F492" s="2" t="s">
        <v>36</v>
      </c>
      <c r="G492" s="4" t="str">
        <f>IF('Expense Data'!E492&lt;='Expense Data'!D492,"On Budget","Over Budget")</f>
        <v>On Budget</v>
      </c>
    </row>
    <row r="493" spans="1:7" x14ac:dyDescent="0.3">
      <c r="A493" s="3" t="s">
        <v>22</v>
      </c>
      <c r="B493" s="2" t="s">
        <v>10</v>
      </c>
      <c r="C493" s="2" t="s">
        <v>20</v>
      </c>
      <c r="D493" s="2">
        <v>4924</v>
      </c>
      <c r="E493" s="2">
        <v>2580</v>
      </c>
      <c r="F493" s="2" t="s">
        <v>12</v>
      </c>
      <c r="G493" s="4" t="str">
        <f>IF('Expense Data'!E493&lt;='Expense Data'!D493,"On Budget","Over Budget")</f>
        <v>On Budget</v>
      </c>
    </row>
    <row r="494" spans="1:7" x14ac:dyDescent="0.3">
      <c r="A494" s="3" t="s">
        <v>9</v>
      </c>
      <c r="B494" s="2" t="s">
        <v>10</v>
      </c>
      <c r="C494" s="2" t="s">
        <v>14</v>
      </c>
      <c r="D494" s="2">
        <v>8293</v>
      </c>
      <c r="E494" s="2">
        <v>8071</v>
      </c>
      <c r="F494" s="2" t="s">
        <v>19</v>
      </c>
      <c r="G494" s="4" t="str">
        <f>IF('Expense Data'!E494&lt;='Expense Data'!D494,"On Budget","Over Budget")</f>
        <v>On Budget</v>
      </c>
    </row>
    <row r="495" spans="1:7" x14ac:dyDescent="0.3">
      <c r="A495" s="3" t="s">
        <v>16</v>
      </c>
      <c r="B495" s="2" t="s">
        <v>7</v>
      </c>
      <c r="C495" s="2" t="s">
        <v>17</v>
      </c>
      <c r="D495" s="2">
        <v>2366</v>
      </c>
      <c r="E495" s="2">
        <v>8083</v>
      </c>
      <c r="F495" s="2" t="s">
        <v>19</v>
      </c>
      <c r="G495" s="4" t="str">
        <f>IF('Expense Data'!E495&lt;='Expense Data'!D495,"On Budget","Over Budget")</f>
        <v>Over Budget</v>
      </c>
    </row>
    <row r="496" spans="1:7" x14ac:dyDescent="0.3">
      <c r="A496" s="3" t="s">
        <v>27</v>
      </c>
      <c r="B496" s="2" t="s">
        <v>7</v>
      </c>
      <c r="C496" s="2" t="s">
        <v>11</v>
      </c>
      <c r="D496" s="2">
        <v>1055</v>
      </c>
      <c r="E496" s="2">
        <v>7854</v>
      </c>
      <c r="F496" s="2" t="s">
        <v>15</v>
      </c>
      <c r="G496" s="4" t="str">
        <f>IF('Expense Data'!E496&lt;='Expense Data'!D496,"On Budget","Over Budget")</f>
        <v>Over Budget</v>
      </c>
    </row>
    <row r="497" spans="1:7" x14ac:dyDescent="0.3">
      <c r="A497" s="3" t="s">
        <v>27</v>
      </c>
      <c r="B497" s="2" t="s">
        <v>10</v>
      </c>
      <c r="C497" s="2" t="s">
        <v>11</v>
      </c>
      <c r="D497" s="2">
        <v>5784</v>
      </c>
      <c r="E497" s="2">
        <v>11503</v>
      </c>
      <c r="F497" s="2" t="s">
        <v>36</v>
      </c>
      <c r="G497" s="4" t="str">
        <f>IF('Expense Data'!E497&lt;='Expense Data'!D497,"On Budget","Over Budget")</f>
        <v>Over Budget</v>
      </c>
    </row>
    <row r="498" spans="1:7" x14ac:dyDescent="0.3">
      <c r="A498" s="3" t="s">
        <v>27</v>
      </c>
      <c r="B498" s="2" t="s">
        <v>28</v>
      </c>
      <c r="C498" s="2" t="s">
        <v>29</v>
      </c>
      <c r="D498" s="2">
        <v>8638</v>
      </c>
      <c r="E498" s="2">
        <v>7748</v>
      </c>
      <c r="F498" s="2" t="s">
        <v>15</v>
      </c>
      <c r="G498" s="4" t="str">
        <f>IF('Expense Data'!E498&lt;='Expense Data'!D498,"On Budget","Over Budget")</f>
        <v>On Budget</v>
      </c>
    </row>
    <row r="499" spans="1:7" x14ac:dyDescent="0.3">
      <c r="A499" s="3" t="s">
        <v>6</v>
      </c>
      <c r="B499" s="2" t="s">
        <v>23</v>
      </c>
      <c r="C499" s="2" t="s">
        <v>34</v>
      </c>
      <c r="D499" s="2">
        <v>5719</v>
      </c>
      <c r="E499" s="2">
        <v>2390</v>
      </c>
      <c r="F499" s="2" t="s">
        <v>12</v>
      </c>
      <c r="G499" s="4" t="str">
        <f>IF('Expense Data'!E499&lt;='Expense Data'!D499,"On Budget","Over Budget")</f>
        <v>On Budget</v>
      </c>
    </row>
    <row r="500" spans="1:7" x14ac:dyDescent="0.3">
      <c r="A500" s="3" t="s">
        <v>16</v>
      </c>
      <c r="B500" s="2" t="s">
        <v>28</v>
      </c>
      <c r="C500" s="2" t="s">
        <v>18</v>
      </c>
      <c r="D500" s="2">
        <v>8122</v>
      </c>
      <c r="E500" s="2">
        <v>4536</v>
      </c>
      <c r="F500" s="2" t="s">
        <v>19</v>
      </c>
      <c r="G500" s="4" t="str">
        <f>IF('Expense Data'!E500&lt;='Expense Data'!D500,"On Budget","Over Budget")</f>
        <v>On Budget</v>
      </c>
    </row>
    <row r="501" spans="1:7" x14ac:dyDescent="0.3">
      <c r="A501" s="8" t="s">
        <v>6</v>
      </c>
      <c r="B501" s="9" t="s">
        <v>31</v>
      </c>
      <c r="C501" s="9" t="s">
        <v>21</v>
      </c>
      <c r="D501" s="9">
        <v>9498</v>
      </c>
      <c r="E501" s="9">
        <v>2157</v>
      </c>
      <c r="F501" s="9" t="s">
        <v>36</v>
      </c>
      <c r="G501" s="10" t="str">
        <f>IF('Expense Data'!E501&lt;='Expense Data'!D501,"On Budget","Over Budget")</f>
        <v>On Budget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0A94-4C8B-45AC-A3BF-875795EC1F65}">
  <dimension ref="A3:C10"/>
  <sheetViews>
    <sheetView workbookViewId="0">
      <selection activeCell="I8" sqref="I8"/>
    </sheetView>
  </sheetViews>
  <sheetFormatPr defaultRowHeight="14.4" x14ac:dyDescent="0.3"/>
  <cols>
    <col min="1" max="1" width="12.5546875" bestFit="1" customWidth="1"/>
    <col min="2" max="2" width="23.88671875" bestFit="1" customWidth="1"/>
    <col min="3" max="3" width="21.6640625" bestFit="1" customWidth="1"/>
    <col min="4" max="4" width="7" bestFit="1" customWidth="1"/>
    <col min="5" max="5" width="8" bestFit="1" customWidth="1"/>
    <col min="6" max="6" width="9.6640625" bestFit="1" customWidth="1"/>
    <col min="7" max="7" width="10.21875" bestFit="1" customWidth="1"/>
    <col min="8" max="8" width="7" bestFit="1" customWidth="1"/>
    <col min="9" max="9" width="10.77734375" bestFit="1" customWidth="1"/>
    <col min="10" max="487" width="15.5546875" bestFit="1" customWidth="1"/>
    <col min="488" max="488" width="10.77734375" bestFit="1" customWidth="1"/>
  </cols>
  <sheetData>
    <row r="3" spans="1:3" x14ac:dyDescent="0.3">
      <c r="A3" s="11" t="s">
        <v>40</v>
      </c>
      <c r="B3" t="s">
        <v>38</v>
      </c>
      <c r="C3" t="s">
        <v>39</v>
      </c>
    </row>
    <row r="4" spans="1:3" x14ac:dyDescent="0.3">
      <c r="A4" s="12" t="s">
        <v>33</v>
      </c>
      <c r="B4" s="16">
        <v>432667</v>
      </c>
      <c r="C4" s="16">
        <v>468209</v>
      </c>
    </row>
    <row r="5" spans="1:3" x14ac:dyDescent="0.3">
      <c r="A5" s="12" t="s">
        <v>6</v>
      </c>
      <c r="B5" s="16">
        <v>439309</v>
      </c>
      <c r="C5" s="16">
        <v>493937</v>
      </c>
    </row>
    <row r="6" spans="1:3" x14ac:dyDescent="0.3">
      <c r="A6" s="12" t="s">
        <v>16</v>
      </c>
      <c r="B6" s="16">
        <v>427757</v>
      </c>
      <c r="C6" s="16">
        <v>485443</v>
      </c>
    </row>
    <row r="7" spans="1:3" x14ac:dyDescent="0.3">
      <c r="A7" s="12" t="s">
        <v>13</v>
      </c>
      <c r="B7" s="16">
        <v>353332</v>
      </c>
      <c r="C7" s="16">
        <v>438863</v>
      </c>
    </row>
    <row r="8" spans="1:3" x14ac:dyDescent="0.3">
      <c r="A8" s="12" t="s">
        <v>22</v>
      </c>
      <c r="B8" s="16">
        <v>374352</v>
      </c>
      <c r="C8" s="16">
        <v>429653</v>
      </c>
    </row>
    <row r="9" spans="1:3" x14ac:dyDescent="0.3">
      <c r="A9" s="12" t="s">
        <v>27</v>
      </c>
      <c r="B9" s="16">
        <v>357993</v>
      </c>
      <c r="C9" s="16">
        <v>454227</v>
      </c>
    </row>
    <row r="10" spans="1:3" x14ac:dyDescent="0.3">
      <c r="A10" s="12" t="s">
        <v>9</v>
      </c>
      <c r="B10" s="16">
        <v>371246</v>
      </c>
      <c r="C10" s="16">
        <v>411288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694D-0CC9-485D-B4E3-3B7B2D629411}">
  <dimension ref="A1:I501"/>
  <sheetViews>
    <sheetView workbookViewId="0">
      <selection activeCell="L8" sqref="L8"/>
    </sheetView>
  </sheetViews>
  <sheetFormatPr defaultRowHeight="14.4" x14ac:dyDescent="0.3"/>
  <cols>
    <col min="1" max="1" width="14" customWidth="1"/>
    <col min="2" max="2" width="15.6640625" customWidth="1"/>
    <col min="3" max="3" width="14.6640625" customWidth="1"/>
    <col min="4" max="4" width="19.6640625" customWidth="1"/>
    <col min="5" max="5" width="17.77734375" customWidth="1"/>
    <col min="6" max="6" width="19" customWidth="1"/>
    <col min="7" max="7" width="15.5546875" customWidth="1"/>
    <col min="8" max="8" width="17.6640625" bestFit="1" customWidth="1"/>
    <col min="9" max="9" width="20.21875" bestFit="1" customWidth="1"/>
  </cols>
  <sheetData>
    <row r="1" spans="1:9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37</v>
      </c>
      <c r="H1" s="13" t="s">
        <v>43</v>
      </c>
      <c r="I1" s="13" t="s">
        <v>44</v>
      </c>
    </row>
    <row r="2" spans="1:9" x14ac:dyDescent="0.3">
      <c r="A2" s="2" t="s">
        <v>6</v>
      </c>
      <c r="B2" s="2" t="s">
        <v>7</v>
      </c>
      <c r="C2" s="2" t="s">
        <v>8</v>
      </c>
      <c r="D2" s="2">
        <v>8741</v>
      </c>
      <c r="E2" s="2">
        <v>11391</v>
      </c>
      <c r="F2" s="2" t="s">
        <v>36</v>
      </c>
      <c r="G2" s="2" t="s">
        <v>41</v>
      </c>
      <c r="H2" s="15">
        <f>(E2-D2)</f>
        <v>2650</v>
      </c>
      <c r="I2" s="14">
        <f>H2/D2</f>
        <v>0.30316897380162455</v>
      </c>
    </row>
    <row r="3" spans="1:9" x14ac:dyDescent="0.3">
      <c r="A3" s="2" t="s">
        <v>9</v>
      </c>
      <c r="B3" s="2" t="s">
        <v>10</v>
      </c>
      <c r="C3" s="2" t="s">
        <v>11</v>
      </c>
      <c r="D3" s="2">
        <v>9315</v>
      </c>
      <c r="E3" s="2">
        <v>2115</v>
      </c>
      <c r="F3" s="2" t="s">
        <v>12</v>
      </c>
      <c r="G3" s="2" t="s">
        <v>42</v>
      </c>
      <c r="H3" s="15">
        <f t="shared" ref="H3:H66" si="0">(E3-D3)</f>
        <v>-7200</v>
      </c>
      <c r="I3" s="14">
        <f t="shared" ref="I3:I66" si="1">H3/D3</f>
        <v>-0.77294685990338163</v>
      </c>
    </row>
    <row r="4" spans="1:9" x14ac:dyDescent="0.3">
      <c r="A4" s="2" t="s">
        <v>13</v>
      </c>
      <c r="B4" s="2" t="s">
        <v>10</v>
      </c>
      <c r="C4" s="2" t="s">
        <v>14</v>
      </c>
      <c r="D4" s="2">
        <v>5713</v>
      </c>
      <c r="E4" s="2">
        <v>2833</v>
      </c>
      <c r="F4" s="2" t="s">
        <v>15</v>
      </c>
      <c r="G4" s="2" t="s">
        <v>42</v>
      </c>
      <c r="H4" s="15">
        <f t="shared" si="0"/>
        <v>-2880</v>
      </c>
      <c r="I4" s="14">
        <f t="shared" si="1"/>
        <v>-0.50411342552074212</v>
      </c>
    </row>
    <row r="5" spans="1:9" x14ac:dyDescent="0.3">
      <c r="A5" s="2" t="s">
        <v>16</v>
      </c>
      <c r="B5" s="2" t="s">
        <v>7</v>
      </c>
      <c r="C5" s="2" t="s">
        <v>17</v>
      </c>
      <c r="D5" s="2">
        <v>4220</v>
      </c>
      <c r="E5" s="2">
        <v>1659</v>
      </c>
      <c r="F5" s="2" t="s">
        <v>12</v>
      </c>
      <c r="G5" s="2" t="s">
        <v>42</v>
      </c>
      <c r="H5" s="15">
        <f t="shared" si="0"/>
        <v>-2561</v>
      </c>
      <c r="I5" s="14">
        <f t="shared" si="1"/>
        <v>-0.60687203791469191</v>
      </c>
    </row>
    <row r="6" spans="1:9" x14ac:dyDescent="0.3">
      <c r="A6" s="2" t="s">
        <v>16</v>
      </c>
      <c r="B6" s="2" t="s">
        <v>10</v>
      </c>
      <c r="C6" s="2" t="s">
        <v>18</v>
      </c>
      <c r="D6" s="2">
        <v>8871</v>
      </c>
      <c r="E6" s="2">
        <v>9947</v>
      </c>
      <c r="F6" s="2" t="s">
        <v>19</v>
      </c>
      <c r="G6" s="2" t="s">
        <v>41</v>
      </c>
      <c r="H6" s="15">
        <f t="shared" si="0"/>
        <v>1076</v>
      </c>
      <c r="I6" s="14">
        <f t="shared" si="1"/>
        <v>0.12129410438507496</v>
      </c>
    </row>
    <row r="7" spans="1:9" x14ac:dyDescent="0.3">
      <c r="A7" s="2" t="s">
        <v>6</v>
      </c>
      <c r="B7" s="2" t="s">
        <v>7</v>
      </c>
      <c r="C7" s="2" t="s">
        <v>20</v>
      </c>
      <c r="D7" s="2">
        <v>6152</v>
      </c>
      <c r="E7" s="2">
        <v>5026</v>
      </c>
      <c r="F7" s="2" t="s">
        <v>19</v>
      </c>
      <c r="G7" s="2" t="s">
        <v>42</v>
      </c>
      <c r="H7" s="15">
        <f t="shared" si="0"/>
        <v>-1126</v>
      </c>
      <c r="I7" s="14">
        <f t="shared" si="1"/>
        <v>-0.18302990897269181</v>
      </c>
    </row>
    <row r="8" spans="1:9" x14ac:dyDescent="0.3">
      <c r="A8" s="2" t="s">
        <v>9</v>
      </c>
      <c r="B8" s="2" t="s">
        <v>10</v>
      </c>
      <c r="C8" s="2" t="s">
        <v>21</v>
      </c>
      <c r="D8" s="2">
        <v>9906</v>
      </c>
      <c r="E8" s="2">
        <v>4649</v>
      </c>
      <c r="F8" s="2" t="s">
        <v>19</v>
      </c>
      <c r="G8" s="2" t="s">
        <v>42</v>
      </c>
      <c r="H8" s="15">
        <f t="shared" si="0"/>
        <v>-5257</v>
      </c>
      <c r="I8" s="14">
        <f t="shared" si="1"/>
        <v>-0.53068847163335353</v>
      </c>
    </row>
    <row r="9" spans="1:9" x14ac:dyDescent="0.3">
      <c r="A9" s="2" t="s">
        <v>13</v>
      </c>
      <c r="B9" s="2" t="s">
        <v>7</v>
      </c>
      <c r="C9" s="2" t="s">
        <v>8</v>
      </c>
      <c r="D9" s="2">
        <v>9187</v>
      </c>
      <c r="E9" s="2">
        <v>4834</v>
      </c>
      <c r="F9" s="2" t="s">
        <v>36</v>
      </c>
      <c r="G9" s="2" t="s">
        <v>42</v>
      </c>
      <c r="H9" s="15">
        <f t="shared" si="0"/>
        <v>-4353</v>
      </c>
      <c r="I9" s="14">
        <f t="shared" si="1"/>
        <v>-0.47382170458256234</v>
      </c>
    </row>
    <row r="10" spans="1:9" x14ac:dyDescent="0.3">
      <c r="A10" s="2" t="s">
        <v>22</v>
      </c>
      <c r="B10" s="2" t="s">
        <v>23</v>
      </c>
      <c r="C10" s="2" t="s">
        <v>24</v>
      </c>
      <c r="D10" s="2">
        <v>9113</v>
      </c>
      <c r="E10" s="2">
        <v>3132</v>
      </c>
      <c r="F10" s="2" t="s">
        <v>19</v>
      </c>
      <c r="G10" s="2" t="s">
        <v>42</v>
      </c>
      <c r="H10" s="15">
        <f t="shared" si="0"/>
        <v>-5981</v>
      </c>
      <c r="I10" s="14">
        <f t="shared" si="1"/>
        <v>-0.65631515417535391</v>
      </c>
    </row>
    <row r="11" spans="1:9" x14ac:dyDescent="0.3">
      <c r="A11" s="2" t="s">
        <v>9</v>
      </c>
      <c r="B11" s="2" t="s">
        <v>25</v>
      </c>
      <c r="C11" s="2" t="s">
        <v>26</v>
      </c>
      <c r="D11" s="2">
        <v>2972</v>
      </c>
      <c r="E11" s="2">
        <v>8038</v>
      </c>
      <c r="F11" s="2" t="s">
        <v>12</v>
      </c>
      <c r="G11" s="2" t="s">
        <v>41</v>
      </c>
      <c r="H11" s="15">
        <f t="shared" si="0"/>
        <v>5066</v>
      </c>
      <c r="I11" s="14">
        <f t="shared" si="1"/>
        <v>1.7045760430686407</v>
      </c>
    </row>
    <row r="12" spans="1:9" x14ac:dyDescent="0.3">
      <c r="A12" s="2" t="s">
        <v>13</v>
      </c>
      <c r="B12" s="2" t="s">
        <v>7</v>
      </c>
      <c r="C12" s="2" t="s">
        <v>21</v>
      </c>
      <c r="D12" s="2">
        <v>4703</v>
      </c>
      <c r="E12" s="2">
        <v>2005</v>
      </c>
      <c r="F12" s="2" t="s">
        <v>12</v>
      </c>
      <c r="G12" s="2" t="s">
        <v>42</v>
      </c>
      <c r="H12" s="15">
        <f t="shared" si="0"/>
        <v>-2698</v>
      </c>
      <c r="I12" s="14">
        <f t="shared" si="1"/>
        <v>-0.57367637678077821</v>
      </c>
    </row>
    <row r="13" spans="1:9" x14ac:dyDescent="0.3">
      <c r="A13" s="2" t="s">
        <v>27</v>
      </c>
      <c r="B13" s="2" t="s">
        <v>25</v>
      </c>
      <c r="C13" s="2" t="s">
        <v>17</v>
      </c>
      <c r="D13" s="2">
        <v>2819</v>
      </c>
      <c r="E13" s="2">
        <v>2626</v>
      </c>
      <c r="F13" s="2" t="s">
        <v>15</v>
      </c>
      <c r="G13" s="2" t="s">
        <v>42</v>
      </c>
      <c r="H13" s="15">
        <f t="shared" si="0"/>
        <v>-193</v>
      </c>
      <c r="I13" s="14">
        <f t="shared" si="1"/>
        <v>-6.846399432422845E-2</v>
      </c>
    </row>
    <row r="14" spans="1:9" x14ac:dyDescent="0.3">
      <c r="A14" s="2" t="s">
        <v>27</v>
      </c>
      <c r="B14" s="2" t="s">
        <v>28</v>
      </c>
      <c r="C14" s="2" t="s">
        <v>14</v>
      </c>
      <c r="D14" s="2">
        <v>2687</v>
      </c>
      <c r="E14" s="2">
        <v>2320</v>
      </c>
      <c r="F14" s="2" t="s">
        <v>36</v>
      </c>
      <c r="G14" s="2" t="s">
        <v>42</v>
      </c>
      <c r="H14" s="15">
        <f t="shared" si="0"/>
        <v>-367</v>
      </c>
      <c r="I14" s="14">
        <f t="shared" si="1"/>
        <v>-0.13658355042798659</v>
      </c>
    </row>
    <row r="15" spans="1:9" x14ac:dyDescent="0.3">
      <c r="A15" s="2" t="s">
        <v>22</v>
      </c>
      <c r="B15" s="2" t="s">
        <v>25</v>
      </c>
      <c r="C15" s="2" t="s">
        <v>18</v>
      </c>
      <c r="D15" s="2">
        <v>3954</v>
      </c>
      <c r="E15" s="2">
        <v>11660</v>
      </c>
      <c r="F15" s="2" t="s">
        <v>36</v>
      </c>
      <c r="G15" s="2" t="s">
        <v>41</v>
      </c>
      <c r="H15" s="15">
        <f t="shared" si="0"/>
        <v>7706</v>
      </c>
      <c r="I15" s="14">
        <f t="shared" si="1"/>
        <v>1.9489124936772888</v>
      </c>
    </row>
    <row r="16" spans="1:9" x14ac:dyDescent="0.3">
      <c r="A16" s="2" t="s">
        <v>13</v>
      </c>
      <c r="B16" s="2" t="s">
        <v>25</v>
      </c>
      <c r="C16" s="2" t="s">
        <v>29</v>
      </c>
      <c r="D16" s="2">
        <v>1888</v>
      </c>
      <c r="E16" s="2">
        <v>2168</v>
      </c>
      <c r="F16" s="2" t="s">
        <v>30</v>
      </c>
      <c r="G16" s="2" t="s">
        <v>41</v>
      </c>
      <c r="H16" s="15">
        <f t="shared" si="0"/>
        <v>280</v>
      </c>
      <c r="I16" s="14">
        <f t="shared" si="1"/>
        <v>0.14830508474576271</v>
      </c>
    </row>
    <row r="17" spans="1:9" x14ac:dyDescent="0.3">
      <c r="A17" s="2" t="s">
        <v>6</v>
      </c>
      <c r="B17" s="2" t="s">
        <v>23</v>
      </c>
      <c r="C17" s="2" t="s">
        <v>20</v>
      </c>
      <c r="D17" s="2">
        <v>3935</v>
      </c>
      <c r="E17" s="2">
        <v>9025</v>
      </c>
      <c r="F17" s="2" t="s">
        <v>19</v>
      </c>
      <c r="G17" s="2" t="s">
        <v>41</v>
      </c>
      <c r="H17" s="15">
        <f t="shared" si="0"/>
        <v>5090</v>
      </c>
      <c r="I17" s="14">
        <f t="shared" si="1"/>
        <v>1.2935196950444727</v>
      </c>
    </row>
    <row r="18" spans="1:9" x14ac:dyDescent="0.3">
      <c r="A18" s="2" t="s">
        <v>22</v>
      </c>
      <c r="B18" s="2" t="s">
        <v>28</v>
      </c>
      <c r="C18" s="2" t="s">
        <v>29</v>
      </c>
      <c r="D18" s="2">
        <v>6457</v>
      </c>
      <c r="E18" s="2">
        <v>11471</v>
      </c>
      <c r="F18" s="2" t="s">
        <v>30</v>
      </c>
      <c r="G18" s="2" t="s">
        <v>41</v>
      </c>
      <c r="H18" s="15">
        <f t="shared" si="0"/>
        <v>5014</v>
      </c>
      <c r="I18" s="14">
        <f t="shared" si="1"/>
        <v>0.77652160446027563</v>
      </c>
    </row>
    <row r="19" spans="1:9" x14ac:dyDescent="0.3">
      <c r="A19" s="2" t="s">
        <v>6</v>
      </c>
      <c r="B19" s="2" t="s">
        <v>7</v>
      </c>
      <c r="C19" s="2" t="s">
        <v>20</v>
      </c>
      <c r="D19" s="2">
        <v>3214</v>
      </c>
      <c r="E19" s="2">
        <v>7585</v>
      </c>
      <c r="F19" s="2" t="s">
        <v>36</v>
      </c>
      <c r="G19" s="2" t="s">
        <v>41</v>
      </c>
      <c r="H19" s="15">
        <f t="shared" si="0"/>
        <v>4371</v>
      </c>
      <c r="I19" s="14">
        <f t="shared" si="1"/>
        <v>1.3599875544492843</v>
      </c>
    </row>
    <row r="20" spans="1:9" x14ac:dyDescent="0.3">
      <c r="A20" s="2" t="s">
        <v>22</v>
      </c>
      <c r="B20" s="2" t="s">
        <v>28</v>
      </c>
      <c r="C20" s="2" t="s">
        <v>29</v>
      </c>
      <c r="D20" s="2">
        <v>6642</v>
      </c>
      <c r="E20" s="2">
        <v>1610</v>
      </c>
      <c r="F20" s="2" t="s">
        <v>12</v>
      </c>
      <c r="G20" s="2" t="s">
        <v>42</v>
      </c>
      <c r="H20" s="15">
        <f t="shared" si="0"/>
        <v>-5032</v>
      </c>
      <c r="I20" s="14">
        <f t="shared" si="1"/>
        <v>-0.75760313158687143</v>
      </c>
    </row>
    <row r="21" spans="1:9" x14ac:dyDescent="0.3">
      <c r="A21" s="2" t="s">
        <v>16</v>
      </c>
      <c r="B21" s="2" t="s">
        <v>7</v>
      </c>
      <c r="C21" s="2" t="s">
        <v>24</v>
      </c>
      <c r="D21" s="2">
        <v>4614</v>
      </c>
      <c r="E21" s="2">
        <v>5264</v>
      </c>
      <c r="F21" s="2" t="s">
        <v>12</v>
      </c>
      <c r="G21" s="2" t="s">
        <v>41</v>
      </c>
      <c r="H21" s="15">
        <f t="shared" si="0"/>
        <v>650</v>
      </c>
      <c r="I21" s="14">
        <f t="shared" si="1"/>
        <v>0.14087559601213698</v>
      </c>
    </row>
    <row r="22" spans="1:9" x14ac:dyDescent="0.3">
      <c r="A22" s="2" t="s">
        <v>27</v>
      </c>
      <c r="B22" s="2" t="s">
        <v>10</v>
      </c>
      <c r="C22" s="2" t="s">
        <v>24</v>
      </c>
      <c r="D22" s="2">
        <v>9247</v>
      </c>
      <c r="E22" s="2">
        <v>6873</v>
      </c>
      <c r="F22" s="2" t="s">
        <v>15</v>
      </c>
      <c r="G22" s="2" t="s">
        <v>42</v>
      </c>
      <c r="H22" s="15">
        <f t="shared" si="0"/>
        <v>-2374</v>
      </c>
      <c r="I22" s="14">
        <f t="shared" si="1"/>
        <v>-0.25673191305288201</v>
      </c>
    </row>
    <row r="23" spans="1:9" x14ac:dyDescent="0.3">
      <c r="A23" s="2" t="s">
        <v>13</v>
      </c>
      <c r="B23" s="2" t="s">
        <v>31</v>
      </c>
      <c r="C23" s="2" t="s">
        <v>32</v>
      </c>
      <c r="D23" s="2">
        <v>6442</v>
      </c>
      <c r="E23" s="2">
        <v>5190</v>
      </c>
      <c r="F23" s="2" t="s">
        <v>36</v>
      </c>
      <c r="G23" s="2" t="s">
        <v>42</v>
      </c>
      <c r="H23" s="15">
        <f t="shared" si="0"/>
        <v>-1252</v>
      </c>
      <c r="I23" s="14">
        <f t="shared" si="1"/>
        <v>-0.1943495808755045</v>
      </c>
    </row>
    <row r="24" spans="1:9" x14ac:dyDescent="0.3">
      <c r="A24" s="2" t="s">
        <v>16</v>
      </c>
      <c r="B24" s="2" t="s">
        <v>31</v>
      </c>
      <c r="C24" s="2" t="s">
        <v>21</v>
      </c>
      <c r="D24" s="2">
        <v>6248</v>
      </c>
      <c r="E24" s="2">
        <v>4567</v>
      </c>
      <c r="F24" s="2" t="s">
        <v>12</v>
      </c>
      <c r="G24" s="2" t="s">
        <v>42</v>
      </c>
      <c r="H24" s="15">
        <f t="shared" si="0"/>
        <v>-1681</v>
      </c>
      <c r="I24" s="14">
        <f t="shared" si="1"/>
        <v>-0.2690460947503201</v>
      </c>
    </row>
    <row r="25" spans="1:9" x14ac:dyDescent="0.3">
      <c r="A25" s="2" t="s">
        <v>6</v>
      </c>
      <c r="B25" s="2" t="s">
        <v>10</v>
      </c>
      <c r="C25" s="2" t="s">
        <v>29</v>
      </c>
      <c r="D25" s="2">
        <v>6425</v>
      </c>
      <c r="E25" s="2">
        <v>4047</v>
      </c>
      <c r="F25" s="2" t="s">
        <v>15</v>
      </c>
      <c r="G25" s="2" t="s">
        <v>42</v>
      </c>
      <c r="H25" s="15">
        <f t="shared" si="0"/>
        <v>-2378</v>
      </c>
      <c r="I25" s="14">
        <f t="shared" si="1"/>
        <v>-0.37011673151750973</v>
      </c>
    </row>
    <row r="26" spans="1:9" x14ac:dyDescent="0.3">
      <c r="A26" s="2" t="s">
        <v>6</v>
      </c>
      <c r="B26" s="2" t="s">
        <v>7</v>
      </c>
      <c r="C26" s="2" t="s">
        <v>11</v>
      </c>
      <c r="D26" s="2">
        <v>8014</v>
      </c>
      <c r="E26" s="2">
        <v>10039</v>
      </c>
      <c r="F26" s="2" t="s">
        <v>19</v>
      </c>
      <c r="G26" s="2" t="s">
        <v>41</v>
      </c>
      <c r="H26" s="15">
        <f t="shared" si="0"/>
        <v>2025</v>
      </c>
      <c r="I26" s="14">
        <f t="shared" si="1"/>
        <v>0.25268280509109059</v>
      </c>
    </row>
    <row r="27" spans="1:9" x14ac:dyDescent="0.3">
      <c r="A27" s="2" t="s">
        <v>33</v>
      </c>
      <c r="B27" s="2" t="s">
        <v>10</v>
      </c>
      <c r="C27" s="2" t="s">
        <v>29</v>
      </c>
      <c r="D27" s="2">
        <v>9917</v>
      </c>
      <c r="E27" s="2">
        <v>7431</v>
      </c>
      <c r="F27" s="2" t="s">
        <v>30</v>
      </c>
      <c r="G27" s="2" t="s">
        <v>42</v>
      </c>
      <c r="H27" s="15">
        <f t="shared" si="0"/>
        <v>-2486</v>
      </c>
      <c r="I27" s="14">
        <f t="shared" si="1"/>
        <v>-0.25068064938993645</v>
      </c>
    </row>
    <row r="28" spans="1:9" x14ac:dyDescent="0.3">
      <c r="A28" s="2" t="s">
        <v>22</v>
      </c>
      <c r="B28" s="2" t="s">
        <v>25</v>
      </c>
      <c r="C28" s="2" t="s">
        <v>24</v>
      </c>
      <c r="D28" s="2">
        <v>4233</v>
      </c>
      <c r="E28" s="2">
        <v>11353</v>
      </c>
      <c r="F28" s="2" t="s">
        <v>19</v>
      </c>
      <c r="G28" s="2" t="s">
        <v>41</v>
      </c>
      <c r="H28" s="15">
        <f t="shared" si="0"/>
        <v>7120</v>
      </c>
      <c r="I28" s="14">
        <f t="shared" si="1"/>
        <v>1.6820222064729506</v>
      </c>
    </row>
    <row r="29" spans="1:9" x14ac:dyDescent="0.3">
      <c r="A29" s="2" t="s">
        <v>22</v>
      </c>
      <c r="B29" s="2" t="s">
        <v>25</v>
      </c>
      <c r="C29" s="2" t="s">
        <v>17</v>
      </c>
      <c r="D29" s="2">
        <v>5695</v>
      </c>
      <c r="E29" s="2">
        <v>10306</v>
      </c>
      <c r="F29" s="2" t="s">
        <v>30</v>
      </c>
      <c r="G29" s="2" t="s">
        <v>41</v>
      </c>
      <c r="H29" s="15">
        <f t="shared" si="0"/>
        <v>4611</v>
      </c>
      <c r="I29" s="14">
        <f t="shared" si="1"/>
        <v>0.80965759438103602</v>
      </c>
    </row>
    <row r="30" spans="1:9" x14ac:dyDescent="0.3">
      <c r="A30" s="2" t="s">
        <v>33</v>
      </c>
      <c r="B30" s="2" t="s">
        <v>28</v>
      </c>
      <c r="C30" s="2" t="s">
        <v>14</v>
      </c>
      <c r="D30" s="2">
        <v>3664</v>
      </c>
      <c r="E30" s="2">
        <v>8157</v>
      </c>
      <c r="F30" s="2" t="s">
        <v>12</v>
      </c>
      <c r="G30" s="2" t="s">
        <v>41</v>
      </c>
      <c r="H30" s="15">
        <f t="shared" si="0"/>
        <v>4493</v>
      </c>
      <c r="I30" s="14">
        <f t="shared" si="1"/>
        <v>1.2262554585152838</v>
      </c>
    </row>
    <row r="31" spans="1:9" x14ac:dyDescent="0.3">
      <c r="A31" s="2" t="s">
        <v>22</v>
      </c>
      <c r="B31" s="2" t="s">
        <v>10</v>
      </c>
      <c r="C31" s="2" t="s">
        <v>34</v>
      </c>
      <c r="D31" s="2">
        <v>1258</v>
      </c>
      <c r="E31" s="2">
        <v>11395</v>
      </c>
      <c r="F31" s="2" t="s">
        <v>15</v>
      </c>
      <c r="G31" s="2" t="s">
        <v>41</v>
      </c>
      <c r="H31" s="15">
        <f t="shared" si="0"/>
        <v>10137</v>
      </c>
      <c r="I31" s="14">
        <f t="shared" si="1"/>
        <v>8.0580286168521464</v>
      </c>
    </row>
    <row r="32" spans="1:9" x14ac:dyDescent="0.3">
      <c r="A32" s="2" t="s">
        <v>16</v>
      </c>
      <c r="B32" s="2" t="s">
        <v>7</v>
      </c>
      <c r="C32" s="2" t="s">
        <v>14</v>
      </c>
      <c r="D32" s="2">
        <v>9474</v>
      </c>
      <c r="E32" s="2">
        <v>6425</v>
      </c>
      <c r="F32" s="2" t="s">
        <v>19</v>
      </c>
      <c r="G32" s="2" t="s">
        <v>42</v>
      </c>
      <c r="H32" s="15">
        <f t="shared" si="0"/>
        <v>-3049</v>
      </c>
      <c r="I32" s="14">
        <f t="shared" si="1"/>
        <v>-0.32182816128351277</v>
      </c>
    </row>
    <row r="33" spans="1:9" x14ac:dyDescent="0.3">
      <c r="A33" s="2" t="s">
        <v>33</v>
      </c>
      <c r="B33" s="2" t="s">
        <v>7</v>
      </c>
      <c r="C33" s="2" t="s">
        <v>34</v>
      </c>
      <c r="D33" s="2">
        <v>9453</v>
      </c>
      <c r="E33" s="2">
        <v>3473</v>
      </c>
      <c r="F33" s="2" t="s">
        <v>19</v>
      </c>
      <c r="G33" s="2" t="s">
        <v>42</v>
      </c>
      <c r="H33" s="15">
        <f t="shared" si="0"/>
        <v>-5980</v>
      </c>
      <c r="I33" s="14">
        <f t="shared" si="1"/>
        <v>-0.63260340632603407</v>
      </c>
    </row>
    <row r="34" spans="1:9" x14ac:dyDescent="0.3">
      <c r="A34" s="2" t="s">
        <v>22</v>
      </c>
      <c r="B34" s="2" t="s">
        <v>10</v>
      </c>
      <c r="C34" s="2" t="s">
        <v>29</v>
      </c>
      <c r="D34" s="2">
        <v>5022</v>
      </c>
      <c r="E34" s="2">
        <v>7324</v>
      </c>
      <c r="F34" s="2" t="s">
        <v>12</v>
      </c>
      <c r="G34" s="2" t="s">
        <v>41</v>
      </c>
      <c r="H34" s="15">
        <f t="shared" si="0"/>
        <v>2302</v>
      </c>
      <c r="I34" s="14">
        <f t="shared" si="1"/>
        <v>0.45838311429709278</v>
      </c>
    </row>
    <row r="35" spans="1:9" x14ac:dyDescent="0.3">
      <c r="A35" s="2" t="s">
        <v>27</v>
      </c>
      <c r="B35" s="2" t="s">
        <v>35</v>
      </c>
      <c r="C35" s="2" t="s">
        <v>18</v>
      </c>
      <c r="D35" s="2">
        <v>3187</v>
      </c>
      <c r="E35" s="2">
        <v>2004</v>
      </c>
      <c r="F35" s="2" t="s">
        <v>15</v>
      </c>
      <c r="G35" s="2" t="s">
        <v>42</v>
      </c>
      <c r="H35" s="15">
        <f t="shared" si="0"/>
        <v>-1183</v>
      </c>
      <c r="I35" s="14">
        <f t="shared" si="1"/>
        <v>-0.37119548164417948</v>
      </c>
    </row>
    <row r="36" spans="1:9" x14ac:dyDescent="0.3">
      <c r="A36" s="2" t="s">
        <v>22</v>
      </c>
      <c r="B36" s="2" t="s">
        <v>31</v>
      </c>
      <c r="C36" s="2" t="s">
        <v>14</v>
      </c>
      <c r="D36" s="2">
        <v>5157</v>
      </c>
      <c r="E36" s="2">
        <v>9013</v>
      </c>
      <c r="F36" s="2" t="s">
        <v>30</v>
      </c>
      <c r="G36" s="2" t="s">
        <v>41</v>
      </c>
      <c r="H36" s="15">
        <f t="shared" si="0"/>
        <v>3856</v>
      </c>
      <c r="I36" s="14">
        <f t="shared" si="1"/>
        <v>0.74772154353306186</v>
      </c>
    </row>
    <row r="37" spans="1:9" x14ac:dyDescent="0.3">
      <c r="A37" s="2" t="s">
        <v>9</v>
      </c>
      <c r="B37" s="2" t="s">
        <v>25</v>
      </c>
      <c r="C37" s="2" t="s">
        <v>11</v>
      </c>
      <c r="D37" s="2">
        <v>6167</v>
      </c>
      <c r="E37" s="2">
        <v>10425</v>
      </c>
      <c r="F37" s="2" t="s">
        <v>15</v>
      </c>
      <c r="G37" s="2" t="s">
        <v>41</v>
      </c>
      <c r="H37" s="15">
        <f t="shared" si="0"/>
        <v>4258</v>
      </c>
      <c r="I37" s="14">
        <f t="shared" si="1"/>
        <v>0.69044916491000485</v>
      </c>
    </row>
    <row r="38" spans="1:9" x14ac:dyDescent="0.3">
      <c r="A38" s="2" t="s">
        <v>13</v>
      </c>
      <c r="B38" s="2" t="s">
        <v>28</v>
      </c>
      <c r="C38" s="2" t="s">
        <v>8</v>
      </c>
      <c r="D38" s="2">
        <v>3598</v>
      </c>
      <c r="E38" s="2">
        <v>6920</v>
      </c>
      <c r="F38" s="2" t="s">
        <v>36</v>
      </c>
      <c r="G38" s="2" t="s">
        <v>41</v>
      </c>
      <c r="H38" s="15">
        <f t="shared" si="0"/>
        <v>3322</v>
      </c>
      <c r="I38" s="14">
        <f t="shared" si="1"/>
        <v>0.92329071706503618</v>
      </c>
    </row>
    <row r="39" spans="1:9" x14ac:dyDescent="0.3">
      <c r="A39" s="2" t="s">
        <v>13</v>
      </c>
      <c r="B39" s="2" t="s">
        <v>35</v>
      </c>
      <c r="C39" s="2" t="s">
        <v>11</v>
      </c>
      <c r="D39" s="2">
        <v>8265</v>
      </c>
      <c r="E39" s="2">
        <v>11479</v>
      </c>
      <c r="F39" s="2" t="s">
        <v>19</v>
      </c>
      <c r="G39" s="2" t="s">
        <v>41</v>
      </c>
      <c r="H39" s="15">
        <f t="shared" si="0"/>
        <v>3214</v>
      </c>
      <c r="I39" s="14">
        <f t="shared" si="1"/>
        <v>0.38886872353297036</v>
      </c>
    </row>
    <row r="40" spans="1:9" x14ac:dyDescent="0.3">
      <c r="A40" s="2" t="s">
        <v>6</v>
      </c>
      <c r="B40" s="2" t="s">
        <v>23</v>
      </c>
      <c r="C40" s="2" t="s">
        <v>18</v>
      </c>
      <c r="D40" s="2">
        <v>2556</v>
      </c>
      <c r="E40" s="2">
        <v>5661</v>
      </c>
      <c r="F40" s="2" t="s">
        <v>12</v>
      </c>
      <c r="G40" s="2" t="s">
        <v>41</v>
      </c>
      <c r="H40" s="15">
        <f t="shared" si="0"/>
        <v>3105</v>
      </c>
      <c r="I40" s="14">
        <f t="shared" si="1"/>
        <v>1.2147887323943662</v>
      </c>
    </row>
    <row r="41" spans="1:9" x14ac:dyDescent="0.3">
      <c r="A41" s="2" t="s">
        <v>13</v>
      </c>
      <c r="B41" s="2" t="s">
        <v>31</v>
      </c>
      <c r="C41" s="2" t="s">
        <v>20</v>
      </c>
      <c r="D41" s="2">
        <v>6507</v>
      </c>
      <c r="E41" s="2">
        <v>6605</v>
      </c>
      <c r="F41" s="2" t="s">
        <v>12</v>
      </c>
      <c r="G41" s="2" t="s">
        <v>41</v>
      </c>
      <c r="H41" s="15">
        <f t="shared" si="0"/>
        <v>98</v>
      </c>
      <c r="I41" s="14">
        <f t="shared" si="1"/>
        <v>1.5060703857384356E-2</v>
      </c>
    </row>
    <row r="42" spans="1:9" x14ac:dyDescent="0.3">
      <c r="A42" s="2" t="s">
        <v>9</v>
      </c>
      <c r="B42" s="2" t="s">
        <v>23</v>
      </c>
      <c r="C42" s="2" t="s">
        <v>14</v>
      </c>
      <c r="D42" s="2">
        <v>9888</v>
      </c>
      <c r="E42" s="2">
        <v>1961</v>
      </c>
      <c r="F42" s="2" t="s">
        <v>12</v>
      </c>
      <c r="G42" s="2" t="s">
        <v>42</v>
      </c>
      <c r="H42" s="15">
        <f t="shared" si="0"/>
        <v>-7927</v>
      </c>
      <c r="I42" s="14">
        <f t="shared" si="1"/>
        <v>-0.80167880258899671</v>
      </c>
    </row>
    <row r="43" spans="1:9" x14ac:dyDescent="0.3">
      <c r="A43" s="2" t="s">
        <v>16</v>
      </c>
      <c r="B43" s="2" t="s">
        <v>7</v>
      </c>
      <c r="C43" s="2" t="s">
        <v>34</v>
      </c>
      <c r="D43" s="2">
        <v>8748</v>
      </c>
      <c r="E43" s="2">
        <v>2688</v>
      </c>
      <c r="F43" s="2" t="s">
        <v>36</v>
      </c>
      <c r="G43" s="2" t="s">
        <v>42</v>
      </c>
      <c r="H43" s="15">
        <f t="shared" si="0"/>
        <v>-6060</v>
      </c>
      <c r="I43" s="14">
        <f t="shared" si="1"/>
        <v>-0.69272976680384091</v>
      </c>
    </row>
    <row r="44" spans="1:9" x14ac:dyDescent="0.3">
      <c r="A44" s="2" t="s">
        <v>16</v>
      </c>
      <c r="B44" s="2" t="s">
        <v>25</v>
      </c>
      <c r="C44" s="2" t="s">
        <v>20</v>
      </c>
      <c r="D44" s="2">
        <v>1573</v>
      </c>
      <c r="E44" s="2">
        <v>11206</v>
      </c>
      <c r="F44" s="2" t="s">
        <v>15</v>
      </c>
      <c r="G44" s="2" t="s">
        <v>41</v>
      </c>
      <c r="H44" s="15">
        <f t="shared" si="0"/>
        <v>9633</v>
      </c>
      <c r="I44" s="14">
        <f t="shared" si="1"/>
        <v>6.1239669421487601</v>
      </c>
    </row>
    <row r="45" spans="1:9" x14ac:dyDescent="0.3">
      <c r="A45" s="2" t="s">
        <v>22</v>
      </c>
      <c r="B45" s="2" t="s">
        <v>31</v>
      </c>
      <c r="C45" s="2" t="s">
        <v>29</v>
      </c>
      <c r="D45" s="2">
        <v>7863</v>
      </c>
      <c r="E45" s="2">
        <v>4970</v>
      </c>
      <c r="F45" s="2" t="s">
        <v>19</v>
      </c>
      <c r="G45" s="2" t="s">
        <v>42</v>
      </c>
      <c r="H45" s="15">
        <f t="shared" si="0"/>
        <v>-2893</v>
      </c>
      <c r="I45" s="14">
        <f t="shared" si="1"/>
        <v>-0.36792572809360297</v>
      </c>
    </row>
    <row r="46" spans="1:9" x14ac:dyDescent="0.3">
      <c r="A46" s="2" t="s">
        <v>16</v>
      </c>
      <c r="B46" s="2" t="s">
        <v>25</v>
      </c>
      <c r="C46" s="2" t="s">
        <v>18</v>
      </c>
      <c r="D46" s="2">
        <v>4248</v>
      </c>
      <c r="E46" s="2">
        <v>5503</v>
      </c>
      <c r="F46" s="2" t="s">
        <v>19</v>
      </c>
      <c r="G46" s="2" t="s">
        <v>41</v>
      </c>
      <c r="H46" s="15">
        <f t="shared" si="0"/>
        <v>1255</v>
      </c>
      <c r="I46" s="14">
        <f t="shared" si="1"/>
        <v>0.2954331450094162</v>
      </c>
    </row>
    <row r="47" spans="1:9" x14ac:dyDescent="0.3">
      <c r="A47" s="2" t="s">
        <v>22</v>
      </c>
      <c r="B47" s="2" t="s">
        <v>35</v>
      </c>
      <c r="C47" s="2" t="s">
        <v>20</v>
      </c>
      <c r="D47" s="2">
        <v>6213</v>
      </c>
      <c r="E47" s="2">
        <v>10730</v>
      </c>
      <c r="F47" s="2" t="s">
        <v>36</v>
      </c>
      <c r="G47" s="2" t="s">
        <v>41</v>
      </c>
      <c r="H47" s="15">
        <f t="shared" si="0"/>
        <v>4517</v>
      </c>
      <c r="I47" s="14">
        <f t="shared" si="1"/>
        <v>0.72702398197328177</v>
      </c>
    </row>
    <row r="48" spans="1:9" x14ac:dyDescent="0.3">
      <c r="A48" s="2" t="s">
        <v>9</v>
      </c>
      <c r="B48" s="2" t="s">
        <v>35</v>
      </c>
      <c r="C48" s="2" t="s">
        <v>20</v>
      </c>
      <c r="D48" s="2">
        <v>8844</v>
      </c>
      <c r="E48" s="2">
        <v>5430</v>
      </c>
      <c r="F48" s="2" t="s">
        <v>36</v>
      </c>
      <c r="G48" s="2" t="s">
        <v>42</v>
      </c>
      <c r="H48" s="15">
        <f t="shared" si="0"/>
        <v>-3414</v>
      </c>
      <c r="I48" s="14">
        <f t="shared" si="1"/>
        <v>-0.38602442333785619</v>
      </c>
    </row>
    <row r="49" spans="1:9" x14ac:dyDescent="0.3">
      <c r="A49" s="2" t="s">
        <v>22</v>
      </c>
      <c r="B49" s="2" t="s">
        <v>7</v>
      </c>
      <c r="C49" s="2" t="s">
        <v>34</v>
      </c>
      <c r="D49" s="2">
        <v>8654</v>
      </c>
      <c r="E49" s="2">
        <v>10484</v>
      </c>
      <c r="F49" s="2" t="s">
        <v>12</v>
      </c>
      <c r="G49" s="2" t="s">
        <v>41</v>
      </c>
      <c r="H49" s="15">
        <f t="shared" si="0"/>
        <v>1830</v>
      </c>
      <c r="I49" s="14">
        <f t="shared" si="1"/>
        <v>0.21146290732609199</v>
      </c>
    </row>
    <row r="50" spans="1:9" x14ac:dyDescent="0.3">
      <c r="A50" s="2" t="s">
        <v>22</v>
      </c>
      <c r="B50" s="2" t="s">
        <v>35</v>
      </c>
      <c r="C50" s="2" t="s">
        <v>32</v>
      </c>
      <c r="D50" s="2">
        <v>3669</v>
      </c>
      <c r="E50" s="2">
        <v>5897</v>
      </c>
      <c r="F50" s="2" t="s">
        <v>15</v>
      </c>
      <c r="G50" s="2" t="s">
        <v>41</v>
      </c>
      <c r="H50" s="15">
        <f t="shared" si="0"/>
        <v>2228</v>
      </c>
      <c r="I50" s="14">
        <f t="shared" si="1"/>
        <v>0.60724993186154264</v>
      </c>
    </row>
    <row r="51" spans="1:9" x14ac:dyDescent="0.3">
      <c r="A51" s="2" t="s">
        <v>13</v>
      </c>
      <c r="B51" s="2" t="s">
        <v>23</v>
      </c>
      <c r="C51" s="2" t="s">
        <v>29</v>
      </c>
      <c r="D51" s="2">
        <v>3812</v>
      </c>
      <c r="E51" s="2">
        <v>9459</v>
      </c>
      <c r="F51" s="2" t="s">
        <v>36</v>
      </c>
      <c r="G51" s="2" t="s">
        <v>41</v>
      </c>
      <c r="H51" s="15">
        <f t="shared" si="0"/>
        <v>5647</v>
      </c>
      <c r="I51" s="14">
        <f t="shared" si="1"/>
        <v>1.4813746065057714</v>
      </c>
    </row>
    <row r="52" spans="1:9" x14ac:dyDescent="0.3">
      <c r="A52" s="2" t="s">
        <v>33</v>
      </c>
      <c r="B52" s="2" t="s">
        <v>31</v>
      </c>
      <c r="C52" s="2" t="s">
        <v>29</v>
      </c>
      <c r="D52" s="2">
        <v>3672</v>
      </c>
      <c r="E52" s="2">
        <v>10813</v>
      </c>
      <c r="F52" s="2" t="s">
        <v>15</v>
      </c>
      <c r="G52" s="2" t="s">
        <v>41</v>
      </c>
      <c r="H52" s="15">
        <f t="shared" si="0"/>
        <v>7141</v>
      </c>
      <c r="I52" s="14">
        <f t="shared" si="1"/>
        <v>1.9447167755991286</v>
      </c>
    </row>
    <row r="53" spans="1:9" x14ac:dyDescent="0.3">
      <c r="A53" s="2" t="s">
        <v>6</v>
      </c>
      <c r="B53" s="2" t="s">
        <v>25</v>
      </c>
      <c r="C53" s="2" t="s">
        <v>26</v>
      </c>
      <c r="D53" s="2">
        <v>4800</v>
      </c>
      <c r="E53" s="2">
        <v>4433</v>
      </c>
      <c r="F53" s="2" t="s">
        <v>19</v>
      </c>
      <c r="G53" s="2" t="s">
        <v>42</v>
      </c>
      <c r="H53" s="15">
        <f t="shared" si="0"/>
        <v>-367</v>
      </c>
      <c r="I53" s="14">
        <f t="shared" si="1"/>
        <v>-7.6458333333333336E-2</v>
      </c>
    </row>
    <row r="54" spans="1:9" x14ac:dyDescent="0.3">
      <c r="A54" s="2" t="s">
        <v>6</v>
      </c>
      <c r="B54" s="2" t="s">
        <v>25</v>
      </c>
      <c r="C54" s="2" t="s">
        <v>8</v>
      </c>
      <c r="D54" s="2">
        <v>6962</v>
      </c>
      <c r="E54" s="2">
        <v>3401</v>
      </c>
      <c r="F54" s="2" t="s">
        <v>19</v>
      </c>
      <c r="G54" s="2" t="s">
        <v>42</v>
      </c>
      <c r="H54" s="15">
        <f t="shared" si="0"/>
        <v>-3561</v>
      </c>
      <c r="I54" s="14">
        <f t="shared" si="1"/>
        <v>-0.51149095087618501</v>
      </c>
    </row>
    <row r="55" spans="1:9" x14ac:dyDescent="0.3">
      <c r="A55" s="2" t="s">
        <v>6</v>
      </c>
      <c r="B55" s="2" t="s">
        <v>10</v>
      </c>
      <c r="C55" s="2" t="s">
        <v>8</v>
      </c>
      <c r="D55" s="2">
        <v>4645</v>
      </c>
      <c r="E55" s="2">
        <v>3612</v>
      </c>
      <c r="F55" s="2" t="s">
        <v>19</v>
      </c>
      <c r="G55" s="2" t="s">
        <v>42</v>
      </c>
      <c r="H55" s="15">
        <f t="shared" si="0"/>
        <v>-1033</v>
      </c>
      <c r="I55" s="14">
        <f t="shared" si="1"/>
        <v>-0.22238966630785792</v>
      </c>
    </row>
    <row r="56" spans="1:9" x14ac:dyDescent="0.3">
      <c r="A56" s="2" t="s">
        <v>27</v>
      </c>
      <c r="B56" s="2" t="s">
        <v>23</v>
      </c>
      <c r="C56" s="2" t="s">
        <v>17</v>
      </c>
      <c r="D56" s="2">
        <v>6405</v>
      </c>
      <c r="E56" s="2">
        <v>10615</v>
      </c>
      <c r="F56" s="2" t="s">
        <v>30</v>
      </c>
      <c r="G56" s="2" t="s">
        <v>41</v>
      </c>
      <c r="H56" s="15">
        <f t="shared" si="0"/>
        <v>4210</v>
      </c>
      <c r="I56" s="14">
        <f t="shared" si="1"/>
        <v>0.65729898516783758</v>
      </c>
    </row>
    <row r="57" spans="1:9" x14ac:dyDescent="0.3">
      <c r="A57" s="2" t="s">
        <v>9</v>
      </c>
      <c r="B57" s="2" t="s">
        <v>28</v>
      </c>
      <c r="C57" s="2" t="s">
        <v>29</v>
      </c>
      <c r="D57" s="2">
        <v>2393</v>
      </c>
      <c r="E57" s="2">
        <v>11340</v>
      </c>
      <c r="F57" s="2" t="s">
        <v>12</v>
      </c>
      <c r="G57" s="2" t="s">
        <v>41</v>
      </c>
      <c r="H57" s="15">
        <f t="shared" si="0"/>
        <v>8947</v>
      </c>
      <c r="I57" s="14">
        <f t="shared" si="1"/>
        <v>3.7388215628917676</v>
      </c>
    </row>
    <row r="58" spans="1:9" x14ac:dyDescent="0.3">
      <c r="A58" s="2" t="s">
        <v>16</v>
      </c>
      <c r="B58" s="2" t="s">
        <v>31</v>
      </c>
      <c r="C58" s="2" t="s">
        <v>8</v>
      </c>
      <c r="D58" s="2">
        <v>9374</v>
      </c>
      <c r="E58" s="2">
        <v>5960</v>
      </c>
      <c r="F58" s="2" t="s">
        <v>36</v>
      </c>
      <c r="G58" s="2" t="s">
        <v>42</v>
      </c>
      <c r="H58" s="15">
        <f t="shared" si="0"/>
        <v>-3414</v>
      </c>
      <c r="I58" s="14">
        <f t="shared" si="1"/>
        <v>-0.36419884787710688</v>
      </c>
    </row>
    <row r="59" spans="1:9" x14ac:dyDescent="0.3">
      <c r="A59" s="2" t="s">
        <v>22</v>
      </c>
      <c r="B59" s="2" t="s">
        <v>10</v>
      </c>
      <c r="C59" s="2" t="s">
        <v>18</v>
      </c>
      <c r="D59" s="2">
        <v>5880</v>
      </c>
      <c r="E59" s="2">
        <v>1718</v>
      </c>
      <c r="F59" s="2" t="s">
        <v>12</v>
      </c>
      <c r="G59" s="2" t="s">
        <v>42</v>
      </c>
      <c r="H59" s="15">
        <f t="shared" si="0"/>
        <v>-4162</v>
      </c>
      <c r="I59" s="14">
        <f t="shared" si="1"/>
        <v>-0.70782312925170066</v>
      </c>
    </row>
    <row r="60" spans="1:9" x14ac:dyDescent="0.3">
      <c r="A60" s="2" t="s">
        <v>33</v>
      </c>
      <c r="B60" s="2" t="s">
        <v>10</v>
      </c>
      <c r="C60" s="2" t="s">
        <v>11</v>
      </c>
      <c r="D60" s="2">
        <v>2744</v>
      </c>
      <c r="E60" s="2">
        <v>8892</v>
      </c>
      <c r="F60" s="2" t="s">
        <v>36</v>
      </c>
      <c r="G60" s="2" t="s">
        <v>41</v>
      </c>
      <c r="H60" s="15">
        <f t="shared" si="0"/>
        <v>6148</v>
      </c>
      <c r="I60" s="14">
        <f t="shared" si="1"/>
        <v>2.240524781341108</v>
      </c>
    </row>
    <row r="61" spans="1:9" x14ac:dyDescent="0.3">
      <c r="A61" s="2" t="s">
        <v>6</v>
      </c>
      <c r="B61" s="2" t="s">
        <v>7</v>
      </c>
      <c r="C61" s="2" t="s">
        <v>29</v>
      </c>
      <c r="D61" s="2">
        <v>2488</v>
      </c>
      <c r="E61" s="2">
        <v>6069</v>
      </c>
      <c r="F61" s="2" t="s">
        <v>30</v>
      </c>
      <c r="G61" s="2" t="s">
        <v>41</v>
      </c>
      <c r="H61" s="15">
        <f t="shared" si="0"/>
        <v>3581</v>
      </c>
      <c r="I61" s="14">
        <f t="shared" si="1"/>
        <v>1.4393086816720257</v>
      </c>
    </row>
    <row r="62" spans="1:9" x14ac:dyDescent="0.3">
      <c r="A62" s="2" t="s">
        <v>22</v>
      </c>
      <c r="B62" s="2" t="s">
        <v>31</v>
      </c>
      <c r="C62" s="2" t="s">
        <v>21</v>
      </c>
      <c r="D62" s="2">
        <v>2612</v>
      </c>
      <c r="E62" s="2">
        <v>10393</v>
      </c>
      <c r="F62" s="2" t="s">
        <v>30</v>
      </c>
      <c r="G62" s="2" t="s">
        <v>41</v>
      </c>
      <c r="H62" s="15">
        <f t="shared" si="0"/>
        <v>7781</v>
      </c>
      <c r="I62" s="14">
        <f t="shared" si="1"/>
        <v>2.9789433384379786</v>
      </c>
    </row>
    <row r="63" spans="1:9" x14ac:dyDescent="0.3">
      <c r="A63" s="2" t="s">
        <v>33</v>
      </c>
      <c r="B63" s="2" t="s">
        <v>10</v>
      </c>
      <c r="C63" s="2" t="s">
        <v>21</v>
      </c>
      <c r="D63" s="2">
        <v>3303</v>
      </c>
      <c r="E63" s="2">
        <v>10146</v>
      </c>
      <c r="F63" s="2" t="s">
        <v>30</v>
      </c>
      <c r="G63" s="2" t="s">
        <v>41</v>
      </c>
      <c r="H63" s="15">
        <f t="shared" si="0"/>
        <v>6843</v>
      </c>
      <c r="I63" s="14">
        <f t="shared" si="1"/>
        <v>2.0717529518619435</v>
      </c>
    </row>
    <row r="64" spans="1:9" x14ac:dyDescent="0.3">
      <c r="A64" s="2" t="s">
        <v>6</v>
      </c>
      <c r="B64" s="2" t="s">
        <v>28</v>
      </c>
      <c r="C64" s="2" t="s">
        <v>8</v>
      </c>
      <c r="D64" s="2">
        <v>2330</v>
      </c>
      <c r="E64" s="2">
        <v>10226</v>
      </c>
      <c r="F64" s="2" t="s">
        <v>15</v>
      </c>
      <c r="G64" s="2" t="s">
        <v>41</v>
      </c>
      <c r="H64" s="15">
        <f t="shared" si="0"/>
        <v>7896</v>
      </c>
      <c r="I64" s="14">
        <f t="shared" si="1"/>
        <v>3.3888412017167382</v>
      </c>
    </row>
    <row r="65" spans="1:9" x14ac:dyDescent="0.3">
      <c r="A65" s="2" t="s">
        <v>16</v>
      </c>
      <c r="B65" s="2" t="s">
        <v>7</v>
      </c>
      <c r="C65" s="2" t="s">
        <v>32</v>
      </c>
      <c r="D65" s="2">
        <v>1538</v>
      </c>
      <c r="E65" s="2">
        <v>10463</v>
      </c>
      <c r="F65" s="2" t="s">
        <v>30</v>
      </c>
      <c r="G65" s="2" t="s">
        <v>41</v>
      </c>
      <c r="H65" s="15">
        <f t="shared" si="0"/>
        <v>8925</v>
      </c>
      <c r="I65" s="14">
        <f t="shared" si="1"/>
        <v>5.802990897269181</v>
      </c>
    </row>
    <row r="66" spans="1:9" x14ac:dyDescent="0.3">
      <c r="A66" s="2" t="s">
        <v>9</v>
      </c>
      <c r="B66" s="2" t="s">
        <v>31</v>
      </c>
      <c r="C66" s="2" t="s">
        <v>34</v>
      </c>
      <c r="D66" s="2">
        <v>7388</v>
      </c>
      <c r="E66" s="2">
        <v>3895</v>
      </c>
      <c r="F66" s="2" t="s">
        <v>36</v>
      </c>
      <c r="G66" s="2" t="s">
        <v>42</v>
      </c>
      <c r="H66" s="15">
        <f t="shared" si="0"/>
        <v>-3493</v>
      </c>
      <c r="I66" s="14">
        <f t="shared" si="1"/>
        <v>-0.47279371954520844</v>
      </c>
    </row>
    <row r="67" spans="1:9" x14ac:dyDescent="0.3">
      <c r="A67" s="2" t="s">
        <v>16</v>
      </c>
      <c r="B67" s="2" t="s">
        <v>7</v>
      </c>
      <c r="C67" s="2" t="s">
        <v>32</v>
      </c>
      <c r="D67" s="2">
        <v>4749</v>
      </c>
      <c r="E67" s="2">
        <v>5160</v>
      </c>
      <c r="F67" s="2" t="s">
        <v>30</v>
      </c>
      <c r="G67" s="2" t="s">
        <v>41</v>
      </c>
      <c r="H67" s="15">
        <f t="shared" ref="H67:H130" si="2">(E67-D67)</f>
        <v>411</v>
      </c>
      <c r="I67" s="14">
        <f t="shared" ref="I67:I130" si="3">H67/D67</f>
        <v>8.6544535691724572E-2</v>
      </c>
    </row>
    <row r="68" spans="1:9" x14ac:dyDescent="0.3">
      <c r="A68" s="2" t="s">
        <v>16</v>
      </c>
      <c r="B68" s="2" t="s">
        <v>23</v>
      </c>
      <c r="C68" s="2" t="s">
        <v>26</v>
      </c>
      <c r="D68" s="2">
        <v>6593</v>
      </c>
      <c r="E68" s="2">
        <v>3100</v>
      </c>
      <c r="F68" s="2" t="s">
        <v>15</v>
      </c>
      <c r="G68" s="2" t="s">
        <v>42</v>
      </c>
      <c r="H68" s="15">
        <f t="shared" si="2"/>
        <v>-3493</v>
      </c>
      <c r="I68" s="14">
        <f t="shared" si="3"/>
        <v>-0.52980433793417259</v>
      </c>
    </row>
    <row r="69" spans="1:9" x14ac:dyDescent="0.3">
      <c r="A69" s="2" t="s">
        <v>16</v>
      </c>
      <c r="B69" s="2" t="s">
        <v>25</v>
      </c>
      <c r="C69" s="2" t="s">
        <v>34</v>
      </c>
      <c r="D69" s="2">
        <v>7024</v>
      </c>
      <c r="E69" s="2">
        <v>6381</v>
      </c>
      <c r="F69" s="2" t="s">
        <v>15</v>
      </c>
      <c r="G69" s="2" t="s">
        <v>42</v>
      </c>
      <c r="H69" s="15">
        <f t="shared" si="2"/>
        <v>-643</v>
      </c>
      <c r="I69" s="14">
        <f t="shared" si="3"/>
        <v>-9.1543280182232345E-2</v>
      </c>
    </row>
    <row r="70" spans="1:9" x14ac:dyDescent="0.3">
      <c r="A70" s="2" t="s">
        <v>9</v>
      </c>
      <c r="B70" s="2" t="s">
        <v>31</v>
      </c>
      <c r="C70" s="2" t="s">
        <v>29</v>
      </c>
      <c r="D70" s="2">
        <v>3241</v>
      </c>
      <c r="E70" s="2">
        <v>8302</v>
      </c>
      <c r="F70" s="2" t="s">
        <v>30</v>
      </c>
      <c r="G70" s="2" t="s">
        <v>41</v>
      </c>
      <c r="H70" s="15">
        <f t="shared" si="2"/>
        <v>5061</v>
      </c>
      <c r="I70" s="14">
        <f t="shared" si="3"/>
        <v>1.5615550755939525</v>
      </c>
    </row>
    <row r="71" spans="1:9" x14ac:dyDescent="0.3">
      <c r="A71" s="2" t="s">
        <v>16</v>
      </c>
      <c r="B71" s="2" t="s">
        <v>31</v>
      </c>
      <c r="C71" s="2" t="s">
        <v>17</v>
      </c>
      <c r="D71" s="2">
        <v>3719</v>
      </c>
      <c r="E71" s="2">
        <v>1349</v>
      </c>
      <c r="F71" s="2" t="s">
        <v>12</v>
      </c>
      <c r="G71" s="2" t="s">
        <v>42</v>
      </c>
      <c r="H71" s="15">
        <f t="shared" si="2"/>
        <v>-2370</v>
      </c>
      <c r="I71" s="14">
        <f t="shared" si="3"/>
        <v>-0.63726808281796177</v>
      </c>
    </row>
    <row r="72" spans="1:9" x14ac:dyDescent="0.3">
      <c r="A72" s="2" t="s">
        <v>16</v>
      </c>
      <c r="B72" s="2" t="s">
        <v>35</v>
      </c>
      <c r="C72" s="2" t="s">
        <v>14</v>
      </c>
      <c r="D72" s="2">
        <v>7702</v>
      </c>
      <c r="E72" s="2">
        <v>3259</v>
      </c>
      <c r="F72" s="2" t="s">
        <v>12</v>
      </c>
      <c r="G72" s="2" t="s">
        <v>42</v>
      </c>
      <c r="H72" s="15">
        <f t="shared" si="2"/>
        <v>-4443</v>
      </c>
      <c r="I72" s="14">
        <f t="shared" si="3"/>
        <v>-0.57686315242794084</v>
      </c>
    </row>
    <row r="73" spans="1:9" x14ac:dyDescent="0.3">
      <c r="A73" s="2" t="s">
        <v>6</v>
      </c>
      <c r="B73" s="2" t="s">
        <v>7</v>
      </c>
      <c r="C73" s="2" t="s">
        <v>24</v>
      </c>
      <c r="D73" s="2">
        <v>4486</v>
      </c>
      <c r="E73" s="2">
        <v>8723</v>
      </c>
      <c r="F73" s="2" t="s">
        <v>30</v>
      </c>
      <c r="G73" s="2" t="s">
        <v>41</v>
      </c>
      <c r="H73" s="15">
        <f t="shared" si="2"/>
        <v>4237</v>
      </c>
      <c r="I73" s="14">
        <f t="shared" si="3"/>
        <v>0.944493981275078</v>
      </c>
    </row>
    <row r="74" spans="1:9" x14ac:dyDescent="0.3">
      <c r="A74" s="2" t="s">
        <v>16</v>
      </c>
      <c r="B74" s="2" t="s">
        <v>31</v>
      </c>
      <c r="C74" s="2" t="s">
        <v>14</v>
      </c>
      <c r="D74" s="2">
        <v>2756</v>
      </c>
      <c r="E74" s="2">
        <v>4840</v>
      </c>
      <c r="F74" s="2" t="s">
        <v>36</v>
      </c>
      <c r="G74" s="2" t="s">
        <v>41</v>
      </c>
      <c r="H74" s="15">
        <f t="shared" si="2"/>
        <v>2084</v>
      </c>
      <c r="I74" s="14">
        <f t="shared" si="3"/>
        <v>0.75616835994194487</v>
      </c>
    </row>
    <row r="75" spans="1:9" x14ac:dyDescent="0.3">
      <c r="A75" s="2" t="s">
        <v>9</v>
      </c>
      <c r="B75" s="2" t="s">
        <v>25</v>
      </c>
      <c r="C75" s="2" t="s">
        <v>29</v>
      </c>
      <c r="D75" s="2">
        <v>3915</v>
      </c>
      <c r="E75" s="2">
        <v>11085</v>
      </c>
      <c r="F75" s="2" t="s">
        <v>19</v>
      </c>
      <c r="G75" s="2" t="s">
        <v>41</v>
      </c>
      <c r="H75" s="15">
        <f t="shared" si="2"/>
        <v>7170</v>
      </c>
      <c r="I75" s="14">
        <f t="shared" si="3"/>
        <v>1.8314176245210727</v>
      </c>
    </row>
    <row r="76" spans="1:9" x14ac:dyDescent="0.3">
      <c r="A76" s="2" t="s">
        <v>16</v>
      </c>
      <c r="B76" s="2" t="s">
        <v>25</v>
      </c>
      <c r="C76" s="2" t="s">
        <v>26</v>
      </c>
      <c r="D76" s="2">
        <v>7072</v>
      </c>
      <c r="E76" s="2">
        <v>4524</v>
      </c>
      <c r="F76" s="2" t="s">
        <v>30</v>
      </c>
      <c r="G76" s="2" t="s">
        <v>42</v>
      </c>
      <c r="H76" s="15">
        <f t="shared" si="2"/>
        <v>-2548</v>
      </c>
      <c r="I76" s="14">
        <f t="shared" si="3"/>
        <v>-0.36029411764705882</v>
      </c>
    </row>
    <row r="77" spans="1:9" x14ac:dyDescent="0.3">
      <c r="A77" s="2" t="s">
        <v>13</v>
      </c>
      <c r="B77" s="2" t="s">
        <v>25</v>
      </c>
      <c r="C77" s="2" t="s">
        <v>24</v>
      </c>
      <c r="D77" s="2">
        <v>2200</v>
      </c>
      <c r="E77" s="2">
        <v>8995</v>
      </c>
      <c r="F77" s="2" t="s">
        <v>12</v>
      </c>
      <c r="G77" s="2" t="s">
        <v>41</v>
      </c>
      <c r="H77" s="15">
        <f t="shared" si="2"/>
        <v>6795</v>
      </c>
      <c r="I77" s="14">
        <f t="shared" si="3"/>
        <v>3.0886363636363638</v>
      </c>
    </row>
    <row r="78" spans="1:9" x14ac:dyDescent="0.3">
      <c r="A78" s="2" t="s">
        <v>9</v>
      </c>
      <c r="B78" s="2" t="s">
        <v>7</v>
      </c>
      <c r="C78" s="2" t="s">
        <v>18</v>
      </c>
      <c r="D78" s="2">
        <v>5273</v>
      </c>
      <c r="E78" s="2">
        <v>3315</v>
      </c>
      <c r="F78" s="2" t="s">
        <v>19</v>
      </c>
      <c r="G78" s="2" t="s">
        <v>42</v>
      </c>
      <c r="H78" s="15">
        <f t="shared" si="2"/>
        <v>-1958</v>
      </c>
      <c r="I78" s="14">
        <f t="shared" si="3"/>
        <v>-0.37132562108856437</v>
      </c>
    </row>
    <row r="79" spans="1:9" x14ac:dyDescent="0.3">
      <c r="A79" s="2" t="s">
        <v>33</v>
      </c>
      <c r="B79" s="2" t="s">
        <v>7</v>
      </c>
      <c r="C79" s="2" t="s">
        <v>34</v>
      </c>
      <c r="D79" s="2">
        <v>1218</v>
      </c>
      <c r="E79" s="2">
        <v>8660</v>
      </c>
      <c r="F79" s="2" t="s">
        <v>12</v>
      </c>
      <c r="G79" s="2" t="s">
        <v>41</v>
      </c>
      <c r="H79" s="15">
        <f t="shared" si="2"/>
        <v>7442</v>
      </c>
      <c r="I79" s="14">
        <f t="shared" si="3"/>
        <v>6.1100164203612479</v>
      </c>
    </row>
    <row r="80" spans="1:9" x14ac:dyDescent="0.3">
      <c r="A80" s="2" t="s">
        <v>9</v>
      </c>
      <c r="B80" s="2" t="s">
        <v>10</v>
      </c>
      <c r="C80" s="2" t="s">
        <v>20</v>
      </c>
      <c r="D80" s="2">
        <v>2161</v>
      </c>
      <c r="E80" s="2">
        <v>1888</v>
      </c>
      <c r="F80" s="2" t="s">
        <v>12</v>
      </c>
      <c r="G80" s="2" t="s">
        <v>42</v>
      </c>
      <c r="H80" s="15">
        <f t="shared" si="2"/>
        <v>-273</v>
      </c>
      <c r="I80" s="14">
        <f t="shared" si="3"/>
        <v>-0.12633040259139289</v>
      </c>
    </row>
    <row r="81" spans="1:9" x14ac:dyDescent="0.3">
      <c r="A81" s="2" t="s">
        <v>33</v>
      </c>
      <c r="B81" s="2" t="s">
        <v>23</v>
      </c>
      <c r="C81" s="2" t="s">
        <v>32</v>
      </c>
      <c r="D81" s="2">
        <v>8194</v>
      </c>
      <c r="E81" s="2">
        <v>4751</v>
      </c>
      <c r="F81" s="2" t="s">
        <v>30</v>
      </c>
      <c r="G81" s="2" t="s">
        <v>42</v>
      </c>
      <c r="H81" s="15">
        <f t="shared" si="2"/>
        <v>-3443</v>
      </c>
      <c r="I81" s="14">
        <f t="shared" si="3"/>
        <v>-0.42018550158652673</v>
      </c>
    </row>
    <row r="82" spans="1:9" x14ac:dyDescent="0.3">
      <c r="A82" s="2" t="s">
        <v>9</v>
      </c>
      <c r="B82" s="2" t="s">
        <v>35</v>
      </c>
      <c r="C82" s="2" t="s">
        <v>21</v>
      </c>
      <c r="D82" s="2">
        <v>9116</v>
      </c>
      <c r="E82" s="2">
        <v>5223</v>
      </c>
      <c r="F82" s="2" t="s">
        <v>36</v>
      </c>
      <c r="G82" s="2" t="s">
        <v>42</v>
      </c>
      <c r="H82" s="15">
        <f t="shared" si="2"/>
        <v>-3893</v>
      </c>
      <c r="I82" s="14">
        <f t="shared" si="3"/>
        <v>-0.42705133830627467</v>
      </c>
    </row>
    <row r="83" spans="1:9" x14ac:dyDescent="0.3">
      <c r="A83" s="2" t="s">
        <v>27</v>
      </c>
      <c r="B83" s="2" t="s">
        <v>7</v>
      </c>
      <c r="C83" s="2" t="s">
        <v>34</v>
      </c>
      <c r="D83" s="2">
        <v>9595</v>
      </c>
      <c r="E83" s="2">
        <v>6007</v>
      </c>
      <c r="F83" s="2" t="s">
        <v>12</v>
      </c>
      <c r="G83" s="2" t="s">
        <v>42</v>
      </c>
      <c r="H83" s="15">
        <f t="shared" si="2"/>
        <v>-3588</v>
      </c>
      <c r="I83" s="14">
        <f t="shared" si="3"/>
        <v>-0.37394476289734235</v>
      </c>
    </row>
    <row r="84" spans="1:9" x14ac:dyDescent="0.3">
      <c r="A84" s="2" t="s">
        <v>16</v>
      </c>
      <c r="B84" s="2" t="s">
        <v>25</v>
      </c>
      <c r="C84" s="2" t="s">
        <v>21</v>
      </c>
      <c r="D84" s="2">
        <v>1068</v>
      </c>
      <c r="E84" s="2">
        <v>1998</v>
      </c>
      <c r="F84" s="2" t="s">
        <v>36</v>
      </c>
      <c r="G84" s="2" t="s">
        <v>41</v>
      </c>
      <c r="H84" s="15">
        <f t="shared" si="2"/>
        <v>930</v>
      </c>
      <c r="I84" s="14">
        <f t="shared" si="3"/>
        <v>0.8707865168539326</v>
      </c>
    </row>
    <row r="85" spans="1:9" x14ac:dyDescent="0.3">
      <c r="A85" s="2" t="s">
        <v>27</v>
      </c>
      <c r="B85" s="2" t="s">
        <v>35</v>
      </c>
      <c r="C85" s="2" t="s">
        <v>18</v>
      </c>
      <c r="D85" s="2">
        <v>5069</v>
      </c>
      <c r="E85" s="2">
        <v>7674</v>
      </c>
      <c r="F85" s="2" t="s">
        <v>19</v>
      </c>
      <c r="G85" s="2" t="s">
        <v>41</v>
      </c>
      <c r="H85" s="15">
        <f t="shared" si="2"/>
        <v>2605</v>
      </c>
      <c r="I85" s="14">
        <f t="shared" si="3"/>
        <v>0.5139080686525942</v>
      </c>
    </row>
    <row r="86" spans="1:9" x14ac:dyDescent="0.3">
      <c r="A86" s="2" t="s">
        <v>27</v>
      </c>
      <c r="B86" s="2" t="s">
        <v>10</v>
      </c>
      <c r="C86" s="2" t="s">
        <v>14</v>
      </c>
      <c r="D86" s="2">
        <v>9975</v>
      </c>
      <c r="E86" s="2">
        <v>9853</v>
      </c>
      <c r="F86" s="2" t="s">
        <v>15</v>
      </c>
      <c r="G86" s="2" t="s">
        <v>42</v>
      </c>
      <c r="H86" s="15">
        <f t="shared" si="2"/>
        <v>-122</v>
      </c>
      <c r="I86" s="14">
        <f t="shared" si="3"/>
        <v>-1.2230576441102757E-2</v>
      </c>
    </row>
    <row r="87" spans="1:9" x14ac:dyDescent="0.3">
      <c r="A87" s="2" t="s">
        <v>33</v>
      </c>
      <c r="B87" s="2" t="s">
        <v>23</v>
      </c>
      <c r="C87" s="2" t="s">
        <v>21</v>
      </c>
      <c r="D87" s="2">
        <v>9193</v>
      </c>
      <c r="E87" s="2">
        <v>6411</v>
      </c>
      <c r="F87" s="2" t="s">
        <v>19</v>
      </c>
      <c r="G87" s="2" t="s">
        <v>42</v>
      </c>
      <c r="H87" s="15">
        <f t="shared" si="2"/>
        <v>-2782</v>
      </c>
      <c r="I87" s="14">
        <f t="shared" si="3"/>
        <v>-0.30262155988251932</v>
      </c>
    </row>
    <row r="88" spans="1:9" x14ac:dyDescent="0.3">
      <c r="A88" s="2" t="s">
        <v>16</v>
      </c>
      <c r="B88" s="2" t="s">
        <v>25</v>
      </c>
      <c r="C88" s="2" t="s">
        <v>8</v>
      </c>
      <c r="D88" s="2">
        <v>7586</v>
      </c>
      <c r="E88" s="2">
        <v>6534</v>
      </c>
      <c r="F88" s="2" t="s">
        <v>12</v>
      </c>
      <c r="G88" s="2" t="s">
        <v>42</v>
      </c>
      <c r="H88" s="15">
        <f t="shared" si="2"/>
        <v>-1052</v>
      </c>
      <c r="I88" s="14">
        <f t="shared" si="3"/>
        <v>-0.13867650935934617</v>
      </c>
    </row>
    <row r="89" spans="1:9" x14ac:dyDescent="0.3">
      <c r="A89" s="2" t="s">
        <v>16</v>
      </c>
      <c r="B89" s="2" t="s">
        <v>28</v>
      </c>
      <c r="C89" s="2" t="s">
        <v>21</v>
      </c>
      <c r="D89" s="2">
        <v>3579</v>
      </c>
      <c r="E89" s="2">
        <v>4310</v>
      </c>
      <c r="F89" s="2" t="s">
        <v>12</v>
      </c>
      <c r="G89" s="2" t="s">
        <v>41</v>
      </c>
      <c r="H89" s="15">
        <f t="shared" si="2"/>
        <v>731</v>
      </c>
      <c r="I89" s="14">
        <f t="shared" si="3"/>
        <v>0.20424699636770047</v>
      </c>
    </row>
    <row r="90" spans="1:9" x14ac:dyDescent="0.3">
      <c r="A90" s="2" t="s">
        <v>27</v>
      </c>
      <c r="B90" s="2" t="s">
        <v>23</v>
      </c>
      <c r="C90" s="2" t="s">
        <v>26</v>
      </c>
      <c r="D90" s="2">
        <v>1352</v>
      </c>
      <c r="E90" s="2">
        <v>10883</v>
      </c>
      <c r="F90" s="2" t="s">
        <v>36</v>
      </c>
      <c r="G90" s="2" t="s">
        <v>41</v>
      </c>
      <c r="H90" s="15">
        <f t="shared" si="2"/>
        <v>9531</v>
      </c>
      <c r="I90" s="14">
        <f t="shared" si="3"/>
        <v>7.0495562130177518</v>
      </c>
    </row>
    <row r="91" spans="1:9" x14ac:dyDescent="0.3">
      <c r="A91" s="2" t="s">
        <v>22</v>
      </c>
      <c r="B91" s="2" t="s">
        <v>28</v>
      </c>
      <c r="C91" s="2" t="s">
        <v>20</v>
      </c>
      <c r="D91" s="2">
        <v>1963</v>
      </c>
      <c r="E91" s="2">
        <v>1130</v>
      </c>
      <c r="F91" s="2" t="s">
        <v>30</v>
      </c>
      <c r="G91" s="2" t="s">
        <v>42</v>
      </c>
      <c r="H91" s="15">
        <f t="shared" si="2"/>
        <v>-833</v>
      </c>
      <c r="I91" s="14">
        <f t="shared" si="3"/>
        <v>-0.42435048395313296</v>
      </c>
    </row>
    <row r="92" spans="1:9" x14ac:dyDescent="0.3">
      <c r="A92" s="2" t="s">
        <v>6</v>
      </c>
      <c r="B92" s="2" t="s">
        <v>25</v>
      </c>
      <c r="C92" s="2" t="s">
        <v>21</v>
      </c>
      <c r="D92" s="2">
        <v>4160</v>
      </c>
      <c r="E92" s="2">
        <v>8610</v>
      </c>
      <c r="F92" s="2" t="s">
        <v>19</v>
      </c>
      <c r="G92" s="2" t="s">
        <v>41</v>
      </c>
      <c r="H92" s="15">
        <f t="shared" si="2"/>
        <v>4450</v>
      </c>
      <c r="I92" s="14">
        <f t="shared" si="3"/>
        <v>1.0697115384615385</v>
      </c>
    </row>
    <row r="93" spans="1:9" x14ac:dyDescent="0.3">
      <c r="A93" s="2" t="s">
        <v>33</v>
      </c>
      <c r="B93" s="2" t="s">
        <v>28</v>
      </c>
      <c r="C93" s="2" t="s">
        <v>17</v>
      </c>
      <c r="D93" s="2">
        <v>8651</v>
      </c>
      <c r="E93" s="2">
        <v>9566</v>
      </c>
      <c r="F93" s="2" t="s">
        <v>36</v>
      </c>
      <c r="G93" s="2" t="s">
        <v>41</v>
      </c>
      <c r="H93" s="15">
        <f t="shared" si="2"/>
        <v>915</v>
      </c>
      <c r="I93" s="14">
        <f t="shared" si="3"/>
        <v>0.10576811929256734</v>
      </c>
    </row>
    <row r="94" spans="1:9" x14ac:dyDescent="0.3">
      <c r="A94" s="2" t="s">
        <v>16</v>
      </c>
      <c r="B94" s="2" t="s">
        <v>28</v>
      </c>
      <c r="C94" s="2" t="s">
        <v>17</v>
      </c>
      <c r="D94" s="2">
        <v>8153</v>
      </c>
      <c r="E94" s="2">
        <v>4754</v>
      </c>
      <c r="F94" s="2" t="s">
        <v>19</v>
      </c>
      <c r="G94" s="2" t="s">
        <v>42</v>
      </c>
      <c r="H94" s="15">
        <f t="shared" si="2"/>
        <v>-3399</v>
      </c>
      <c r="I94" s="14">
        <f t="shared" si="3"/>
        <v>-0.41690175395559914</v>
      </c>
    </row>
    <row r="95" spans="1:9" x14ac:dyDescent="0.3">
      <c r="A95" s="2" t="s">
        <v>9</v>
      </c>
      <c r="B95" s="2" t="s">
        <v>31</v>
      </c>
      <c r="C95" s="2" t="s">
        <v>17</v>
      </c>
      <c r="D95" s="2">
        <v>6888</v>
      </c>
      <c r="E95" s="2">
        <v>3991</v>
      </c>
      <c r="F95" s="2" t="s">
        <v>12</v>
      </c>
      <c r="G95" s="2" t="s">
        <v>42</v>
      </c>
      <c r="H95" s="15">
        <f t="shared" si="2"/>
        <v>-2897</v>
      </c>
      <c r="I95" s="14">
        <f t="shared" si="3"/>
        <v>-0.42058652729384438</v>
      </c>
    </row>
    <row r="96" spans="1:9" x14ac:dyDescent="0.3">
      <c r="A96" s="2" t="s">
        <v>9</v>
      </c>
      <c r="B96" s="2" t="s">
        <v>10</v>
      </c>
      <c r="C96" s="2" t="s">
        <v>17</v>
      </c>
      <c r="D96" s="2">
        <v>5089</v>
      </c>
      <c r="E96" s="2">
        <v>7252</v>
      </c>
      <c r="F96" s="2" t="s">
        <v>12</v>
      </c>
      <c r="G96" s="2" t="s">
        <v>41</v>
      </c>
      <c r="H96" s="15">
        <f t="shared" si="2"/>
        <v>2163</v>
      </c>
      <c r="I96" s="14">
        <f t="shared" si="3"/>
        <v>0.42503438789546077</v>
      </c>
    </row>
    <row r="97" spans="1:9" x14ac:dyDescent="0.3">
      <c r="A97" s="2" t="s">
        <v>6</v>
      </c>
      <c r="B97" s="2" t="s">
        <v>23</v>
      </c>
      <c r="C97" s="2" t="s">
        <v>8</v>
      </c>
      <c r="D97" s="2">
        <v>6400</v>
      </c>
      <c r="E97" s="2">
        <v>11481</v>
      </c>
      <c r="F97" s="2" t="s">
        <v>15</v>
      </c>
      <c r="G97" s="2" t="s">
        <v>41</v>
      </c>
      <c r="H97" s="15">
        <f t="shared" si="2"/>
        <v>5081</v>
      </c>
      <c r="I97" s="14">
        <f t="shared" si="3"/>
        <v>0.79390625000000004</v>
      </c>
    </row>
    <row r="98" spans="1:9" x14ac:dyDescent="0.3">
      <c r="A98" s="2" t="s">
        <v>16</v>
      </c>
      <c r="B98" s="2" t="s">
        <v>31</v>
      </c>
      <c r="C98" s="2" t="s">
        <v>8</v>
      </c>
      <c r="D98" s="2">
        <v>4348</v>
      </c>
      <c r="E98" s="2">
        <v>8465</v>
      </c>
      <c r="F98" s="2" t="s">
        <v>36</v>
      </c>
      <c r="G98" s="2" t="s">
        <v>41</v>
      </c>
      <c r="H98" s="15">
        <f t="shared" si="2"/>
        <v>4117</v>
      </c>
      <c r="I98" s="14">
        <f t="shared" si="3"/>
        <v>0.94687212511499541</v>
      </c>
    </row>
    <row r="99" spans="1:9" x14ac:dyDescent="0.3">
      <c r="A99" s="2" t="s">
        <v>13</v>
      </c>
      <c r="B99" s="2" t="s">
        <v>35</v>
      </c>
      <c r="C99" s="2" t="s">
        <v>21</v>
      </c>
      <c r="D99" s="2">
        <v>3871</v>
      </c>
      <c r="E99" s="2">
        <v>2944</v>
      </c>
      <c r="F99" s="2" t="s">
        <v>30</v>
      </c>
      <c r="G99" s="2" t="s">
        <v>42</v>
      </c>
      <c r="H99" s="15">
        <f t="shared" si="2"/>
        <v>-927</v>
      </c>
      <c r="I99" s="14">
        <f t="shared" si="3"/>
        <v>-0.23947300439163008</v>
      </c>
    </row>
    <row r="100" spans="1:9" x14ac:dyDescent="0.3">
      <c r="A100" s="2" t="s">
        <v>13</v>
      </c>
      <c r="B100" s="2" t="s">
        <v>7</v>
      </c>
      <c r="C100" s="2" t="s">
        <v>17</v>
      </c>
      <c r="D100" s="2">
        <v>2588</v>
      </c>
      <c r="E100" s="2">
        <v>6655</v>
      </c>
      <c r="F100" s="2" t="s">
        <v>15</v>
      </c>
      <c r="G100" s="2" t="s">
        <v>41</v>
      </c>
      <c r="H100" s="15">
        <f t="shared" si="2"/>
        <v>4067</v>
      </c>
      <c r="I100" s="14">
        <f t="shared" si="3"/>
        <v>1.5714837712519321</v>
      </c>
    </row>
    <row r="101" spans="1:9" x14ac:dyDescent="0.3">
      <c r="A101" s="2" t="s">
        <v>6</v>
      </c>
      <c r="B101" s="2" t="s">
        <v>23</v>
      </c>
      <c r="C101" s="2" t="s">
        <v>8</v>
      </c>
      <c r="D101" s="2">
        <v>5419</v>
      </c>
      <c r="E101" s="2">
        <v>10036</v>
      </c>
      <c r="F101" s="2" t="s">
        <v>15</v>
      </c>
      <c r="G101" s="2" t="s">
        <v>41</v>
      </c>
      <c r="H101" s="15">
        <f t="shared" si="2"/>
        <v>4617</v>
      </c>
      <c r="I101" s="14">
        <f t="shared" si="3"/>
        <v>0.85200221443070678</v>
      </c>
    </row>
    <row r="102" spans="1:9" x14ac:dyDescent="0.3">
      <c r="A102" s="2" t="s">
        <v>6</v>
      </c>
      <c r="B102" s="2" t="s">
        <v>28</v>
      </c>
      <c r="C102" s="2" t="s">
        <v>32</v>
      </c>
      <c r="D102" s="2">
        <v>6484</v>
      </c>
      <c r="E102" s="2">
        <v>11321</v>
      </c>
      <c r="F102" s="2" t="s">
        <v>15</v>
      </c>
      <c r="G102" s="2" t="s">
        <v>41</v>
      </c>
      <c r="H102" s="15">
        <f t="shared" si="2"/>
        <v>4837</v>
      </c>
      <c r="I102" s="14">
        <f t="shared" si="3"/>
        <v>0.74599012954966071</v>
      </c>
    </row>
    <row r="103" spans="1:9" x14ac:dyDescent="0.3">
      <c r="A103" s="2" t="s">
        <v>33</v>
      </c>
      <c r="B103" s="2" t="s">
        <v>31</v>
      </c>
      <c r="C103" s="2" t="s">
        <v>21</v>
      </c>
      <c r="D103" s="2">
        <v>2824</v>
      </c>
      <c r="E103" s="2">
        <v>4259</v>
      </c>
      <c r="F103" s="2" t="s">
        <v>30</v>
      </c>
      <c r="G103" s="2" t="s">
        <v>41</v>
      </c>
      <c r="H103" s="15">
        <f t="shared" si="2"/>
        <v>1435</v>
      </c>
      <c r="I103" s="14">
        <f t="shared" si="3"/>
        <v>0.50814447592067991</v>
      </c>
    </row>
    <row r="104" spans="1:9" x14ac:dyDescent="0.3">
      <c r="A104" s="2" t="s">
        <v>6</v>
      </c>
      <c r="B104" s="2" t="s">
        <v>25</v>
      </c>
      <c r="C104" s="2" t="s">
        <v>18</v>
      </c>
      <c r="D104" s="2">
        <v>3283</v>
      </c>
      <c r="E104" s="2">
        <v>2284</v>
      </c>
      <c r="F104" s="2" t="s">
        <v>30</v>
      </c>
      <c r="G104" s="2" t="s">
        <v>42</v>
      </c>
      <c r="H104" s="15">
        <f t="shared" si="2"/>
        <v>-999</v>
      </c>
      <c r="I104" s="14">
        <f t="shared" si="3"/>
        <v>-0.30429485226926589</v>
      </c>
    </row>
    <row r="105" spans="1:9" x14ac:dyDescent="0.3">
      <c r="A105" s="2" t="s">
        <v>16</v>
      </c>
      <c r="B105" s="2" t="s">
        <v>23</v>
      </c>
      <c r="C105" s="2" t="s">
        <v>21</v>
      </c>
      <c r="D105" s="2">
        <v>1385</v>
      </c>
      <c r="E105" s="2">
        <v>3043</v>
      </c>
      <c r="F105" s="2" t="s">
        <v>30</v>
      </c>
      <c r="G105" s="2" t="s">
        <v>41</v>
      </c>
      <c r="H105" s="15">
        <f t="shared" si="2"/>
        <v>1658</v>
      </c>
      <c r="I105" s="14">
        <f t="shared" si="3"/>
        <v>1.1971119133574006</v>
      </c>
    </row>
    <row r="106" spans="1:9" x14ac:dyDescent="0.3">
      <c r="A106" s="2" t="s">
        <v>16</v>
      </c>
      <c r="B106" s="2" t="s">
        <v>31</v>
      </c>
      <c r="C106" s="2" t="s">
        <v>21</v>
      </c>
      <c r="D106" s="2">
        <v>5925</v>
      </c>
      <c r="E106" s="2">
        <v>1611</v>
      </c>
      <c r="F106" s="2" t="s">
        <v>15</v>
      </c>
      <c r="G106" s="2" t="s">
        <v>42</v>
      </c>
      <c r="H106" s="15">
        <f t="shared" si="2"/>
        <v>-4314</v>
      </c>
      <c r="I106" s="14">
        <f t="shared" si="3"/>
        <v>-0.72810126582278478</v>
      </c>
    </row>
    <row r="107" spans="1:9" x14ac:dyDescent="0.3">
      <c r="A107" s="2" t="s">
        <v>22</v>
      </c>
      <c r="B107" s="2" t="s">
        <v>7</v>
      </c>
      <c r="C107" s="2" t="s">
        <v>29</v>
      </c>
      <c r="D107" s="2">
        <v>4713</v>
      </c>
      <c r="E107" s="2">
        <v>1374</v>
      </c>
      <c r="F107" s="2" t="s">
        <v>36</v>
      </c>
      <c r="G107" s="2" t="s">
        <v>42</v>
      </c>
      <c r="H107" s="15">
        <f t="shared" si="2"/>
        <v>-3339</v>
      </c>
      <c r="I107" s="14">
        <f t="shared" si="3"/>
        <v>-0.7084659452577976</v>
      </c>
    </row>
    <row r="108" spans="1:9" x14ac:dyDescent="0.3">
      <c r="A108" s="2" t="s">
        <v>6</v>
      </c>
      <c r="B108" s="2" t="s">
        <v>31</v>
      </c>
      <c r="C108" s="2" t="s">
        <v>24</v>
      </c>
      <c r="D108" s="2">
        <v>9681</v>
      </c>
      <c r="E108" s="2">
        <v>11376</v>
      </c>
      <c r="F108" s="2" t="s">
        <v>15</v>
      </c>
      <c r="G108" s="2" t="s">
        <v>41</v>
      </c>
      <c r="H108" s="15">
        <f t="shared" si="2"/>
        <v>1695</v>
      </c>
      <c r="I108" s="14">
        <f t="shared" si="3"/>
        <v>0.17508521846916641</v>
      </c>
    </row>
    <row r="109" spans="1:9" x14ac:dyDescent="0.3">
      <c r="A109" s="2" t="s">
        <v>16</v>
      </c>
      <c r="B109" s="2" t="s">
        <v>10</v>
      </c>
      <c r="C109" s="2" t="s">
        <v>18</v>
      </c>
      <c r="D109" s="2">
        <v>3056</v>
      </c>
      <c r="E109" s="2">
        <v>9707</v>
      </c>
      <c r="F109" s="2" t="s">
        <v>30</v>
      </c>
      <c r="G109" s="2" t="s">
        <v>41</v>
      </c>
      <c r="H109" s="15">
        <f t="shared" si="2"/>
        <v>6651</v>
      </c>
      <c r="I109" s="14">
        <f t="shared" si="3"/>
        <v>2.1763743455497382</v>
      </c>
    </row>
    <row r="110" spans="1:9" x14ac:dyDescent="0.3">
      <c r="A110" s="2" t="s">
        <v>22</v>
      </c>
      <c r="B110" s="2" t="s">
        <v>10</v>
      </c>
      <c r="C110" s="2" t="s">
        <v>17</v>
      </c>
      <c r="D110" s="2">
        <v>2839</v>
      </c>
      <c r="E110" s="2">
        <v>831</v>
      </c>
      <c r="F110" s="2" t="s">
        <v>12</v>
      </c>
      <c r="G110" s="2" t="s">
        <v>42</v>
      </c>
      <c r="H110" s="15">
        <f t="shared" si="2"/>
        <v>-2008</v>
      </c>
      <c r="I110" s="14">
        <f t="shared" si="3"/>
        <v>-0.7072912997534343</v>
      </c>
    </row>
    <row r="111" spans="1:9" x14ac:dyDescent="0.3">
      <c r="A111" s="2" t="s">
        <v>27</v>
      </c>
      <c r="B111" s="2" t="s">
        <v>23</v>
      </c>
      <c r="C111" s="2" t="s">
        <v>24</v>
      </c>
      <c r="D111" s="2">
        <v>8899</v>
      </c>
      <c r="E111" s="2">
        <v>10544</v>
      </c>
      <c r="F111" s="2" t="s">
        <v>19</v>
      </c>
      <c r="G111" s="2" t="s">
        <v>41</v>
      </c>
      <c r="H111" s="15">
        <f t="shared" si="2"/>
        <v>1645</v>
      </c>
      <c r="I111" s="14">
        <f t="shared" si="3"/>
        <v>0.18485223058770647</v>
      </c>
    </row>
    <row r="112" spans="1:9" x14ac:dyDescent="0.3">
      <c r="A112" s="2" t="s">
        <v>27</v>
      </c>
      <c r="B112" s="2" t="s">
        <v>35</v>
      </c>
      <c r="C112" s="2" t="s">
        <v>29</v>
      </c>
      <c r="D112" s="2">
        <v>4949</v>
      </c>
      <c r="E112" s="2">
        <v>9798</v>
      </c>
      <c r="F112" s="2" t="s">
        <v>12</v>
      </c>
      <c r="G112" s="2" t="s">
        <v>41</v>
      </c>
      <c r="H112" s="15">
        <f t="shared" si="2"/>
        <v>4849</v>
      </c>
      <c r="I112" s="14">
        <f t="shared" si="3"/>
        <v>0.97979389775712267</v>
      </c>
    </row>
    <row r="113" spans="1:9" x14ac:dyDescent="0.3">
      <c r="A113" s="2" t="s">
        <v>13</v>
      </c>
      <c r="B113" s="2" t="s">
        <v>28</v>
      </c>
      <c r="C113" s="2" t="s">
        <v>8</v>
      </c>
      <c r="D113" s="2">
        <v>6496</v>
      </c>
      <c r="E113" s="2">
        <v>6564</v>
      </c>
      <c r="F113" s="2" t="s">
        <v>12</v>
      </c>
      <c r="G113" s="2" t="s">
        <v>41</v>
      </c>
      <c r="H113" s="15">
        <f t="shared" si="2"/>
        <v>68</v>
      </c>
      <c r="I113" s="14">
        <f t="shared" si="3"/>
        <v>1.0467980295566502E-2</v>
      </c>
    </row>
    <row r="114" spans="1:9" x14ac:dyDescent="0.3">
      <c r="A114" s="2" t="s">
        <v>16</v>
      </c>
      <c r="B114" s="2" t="s">
        <v>31</v>
      </c>
      <c r="C114" s="2" t="s">
        <v>17</v>
      </c>
      <c r="D114" s="2">
        <v>8018</v>
      </c>
      <c r="E114" s="2">
        <v>10019</v>
      </c>
      <c r="F114" s="2" t="s">
        <v>15</v>
      </c>
      <c r="G114" s="2" t="s">
        <v>41</v>
      </c>
      <c r="H114" s="15">
        <f t="shared" si="2"/>
        <v>2001</v>
      </c>
      <c r="I114" s="14">
        <f t="shared" si="3"/>
        <v>0.24956348216512847</v>
      </c>
    </row>
    <row r="115" spans="1:9" x14ac:dyDescent="0.3">
      <c r="A115" s="2" t="s">
        <v>33</v>
      </c>
      <c r="B115" s="2" t="s">
        <v>7</v>
      </c>
      <c r="C115" s="2" t="s">
        <v>20</v>
      </c>
      <c r="D115" s="2">
        <v>1923</v>
      </c>
      <c r="E115" s="2">
        <v>3834</v>
      </c>
      <c r="F115" s="2" t="s">
        <v>36</v>
      </c>
      <c r="G115" s="2" t="s">
        <v>41</v>
      </c>
      <c r="H115" s="15">
        <f t="shared" si="2"/>
        <v>1911</v>
      </c>
      <c r="I115" s="14">
        <f t="shared" si="3"/>
        <v>0.99375975039001563</v>
      </c>
    </row>
    <row r="116" spans="1:9" x14ac:dyDescent="0.3">
      <c r="A116" s="2" t="s">
        <v>27</v>
      </c>
      <c r="B116" s="2" t="s">
        <v>7</v>
      </c>
      <c r="C116" s="2" t="s">
        <v>11</v>
      </c>
      <c r="D116" s="2">
        <v>1159</v>
      </c>
      <c r="E116" s="2">
        <v>9243</v>
      </c>
      <c r="F116" s="2" t="s">
        <v>12</v>
      </c>
      <c r="G116" s="2" t="s">
        <v>41</v>
      </c>
      <c r="H116" s="15">
        <f t="shared" si="2"/>
        <v>8084</v>
      </c>
      <c r="I116" s="14">
        <f t="shared" si="3"/>
        <v>6.9749784296807595</v>
      </c>
    </row>
    <row r="117" spans="1:9" x14ac:dyDescent="0.3">
      <c r="A117" s="2" t="s">
        <v>16</v>
      </c>
      <c r="B117" s="2" t="s">
        <v>25</v>
      </c>
      <c r="C117" s="2" t="s">
        <v>11</v>
      </c>
      <c r="D117" s="2">
        <v>1952</v>
      </c>
      <c r="E117" s="2">
        <v>1646</v>
      </c>
      <c r="F117" s="2" t="s">
        <v>19</v>
      </c>
      <c r="G117" s="2" t="s">
        <v>42</v>
      </c>
      <c r="H117" s="15">
        <f t="shared" si="2"/>
        <v>-306</v>
      </c>
      <c r="I117" s="14">
        <f t="shared" si="3"/>
        <v>-0.15676229508196721</v>
      </c>
    </row>
    <row r="118" spans="1:9" x14ac:dyDescent="0.3">
      <c r="A118" s="2" t="s">
        <v>33</v>
      </c>
      <c r="B118" s="2" t="s">
        <v>7</v>
      </c>
      <c r="C118" s="2" t="s">
        <v>29</v>
      </c>
      <c r="D118" s="2">
        <v>3819</v>
      </c>
      <c r="E118" s="2">
        <v>4948</v>
      </c>
      <c r="F118" s="2" t="s">
        <v>12</v>
      </c>
      <c r="G118" s="2" t="s">
        <v>41</v>
      </c>
      <c r="H118" s="15">
        <f t="shared" si="2"/>
        <v>1129</v>
      </c>
      <c r="I118" s="14">
        <f t="shared" si="3"/>
        <v>0.2956271275202933</v>
      </c>
    </row>
    <row r="119" spans="1:9" x14ac:dyDescent="0.3">
      <c r="A119" s="2" t="s">
        <v>6</v>
      </c>
      <c r="B119" s="2" t="s">
        <v>10</v>
      </c>
      <c r="C119" s="2" t="s">
        <v>26</v>
      </c>
      <c r="D119" s="2">
        <v>2063</v>
      </c>
      <c r="E119" s="2">
        <v>6424</v>
      </c>
      <c r="F119" s="2" t="s">
        <v>19</v>
      </c>
      <c r="G119" s="2" t="s">
        <v>41</v>
      </c>
      <c r="H119" s="15">
        <f t="shared" si="2"/>
        <v>4361</v>
      </c>
      <c r="I119" s="14">
        <f t="shared" si="3"/>
        <v>2.1139117789626756</v>
      </c>
    </row>
    <row r="120" spans="1:9" x14ac:dyDescent="0.3">
      <c r="A120" s="2" t="s">
        <v>6</v>
      </c>
      <c r="B120" s="2" t="s">
        <v>28</v>
      </c>
      <c r="C120" s="2" t="s">
        <v>21</v>
      </c>
      <c r="D120" s="2">
        <v>1566</v>
      </c>
      <c r="E120" s="2">
        <v>6043</v>
      </c>
      <c r="F120" s="2" t="s">
        <v>19</v>
      </c>
      <c r="G120" s="2" t="s">
        <v>41</v>
      </c>
      <c r="H120" s="15">
        <f t="shared" si="2"/>
        <v>4477</v>
      </c>
      <c r="I120" s="14">
        <f t="shared" si="3"/>
        <v>2.8588761174968074</v>
      </c>
    </row>
    <row r="121" spans="1:9" x14ac:dyDescent="0.3">
      <c r="A121" s="2" t="s">
        <v>33</v>
      </c>
      <c r="B121" s="2" t="s">
        <v>31</v>
      </c>
      <c r="C121" s="2" t="s">
        <v>32</v>
      </c>
      <c r="D121" s="2">
        <v>3485</v>
      </c>
      <c r="E121" s="2">
        <v>2227</v>
      </c>
      <c r="F121" s="2" t="s">
        <v>19</v>
      </c>
      <c r="G121" s="2" t="s">
        <v>42</v>
      </c>
      <c r="H121" s="15">
        <f t="shared" si="2"/>
        <v>-1258</v>
      </c>
      <c r="I121" s="14">
        <f t="shared" si="3"/>
        <v>-0.36097560975609755</v>
      </c>
    </row>
    <row r="122" spans="1:9" x14ac:dyDescent="0.3">
      <c r="A122" s="2" t="s">
        <v>22</v>
      </c>
      <c r="B122" s="2" t="s">
        <v>28</v>
      </c>
      <c r="C122" s="2" t="s">
        <v>32</v>
      </c>
      <c r="D122" s="2">
        <v>9141</v>
      </c>
      <c r="E122" s="2">
        <v>10040</v>
      </c>
      <c r="F122" s="2" t="s">
        <v>30</v>
      </c>
      <c r="G122" s="2" t="s">
        <v>41</v>
      </c>
      <c r="H122" s="15">
        <f t="shared" si="2"/>
        <v>899</v>
      </c>
      <c r="I122" s="14">
        <f t="shared" si="3"/>
        <v>9.8348101958210268E-2</v>
      </c>
    </row>
    <row r="123" spans="1:9" x14ac:dyDescent="0.3">
      <c r="A123" s="2" t="s">
        <v>13</v>
      </c>
      <c r="B123" s="2" t="s">
        <v>10</v>
      </c>
      <c r="C123" s="2" t="s">
        <v>14</v>
      </c>
      <c r="D123" s="2">
        <v>3619</v>
      </c>
      <c r="E123" s="2">
        <v>6866</v>
      </c>
      <c r="F123" s="2" t="s">
        <v>15</v>
      </c>
      <c r="G123" s="2" t="s">
        <v>41</v>
      </c>
      <c r="H123" s="15">
        <f t="shared" si="2"/>
        <v>3247</v>
      </c>
      <c r="I123" s="14">
        <f t="shared" si="3"/>
        <v>0.89720917380491849</v>
      </c>
    </row>
    <row r="124" spans="1:9" x14ac:dyDescent="0.3">
      <c r="A124" s="2" t="s">
        <v>13</v>
      </c>
      <c r="B124" s="2" t="s">
        <v>31</v>
      </c>
      <c r="C124" s="2" t="s">
        <v>18</v>
      </c>
      <c r="D124" s="2">
        <v>1302</v>
      </c>
      <c r="E124" s="2">
        <v>10929</v>
      </c>
      <c r="F124" s="2" t="s">
        <v>30</v>
      </c>
      <c r="G124" s="2" t="s">
        <v>41</v>
      </c>
      <c r="H124" s="15">
        <f t="shared" si="2"/>
        <v>9627</v>
      </c>
      <c r="I124" s="14">
        <f t="shared" si="3"/>
        <v>7.3940092165898621</v>
      </c>
    </row>
    <row r="125" spans="1:9" x14ac:dyDescent="0.3">
      <c r="A125" s="2" t="s">
        <v>33</v>
      </c>
      <c r="B125" s="2" t="s">
        <v>31</v>
      </c>
      <c r="C125" s="2" t="s">
        <v>18</v>
      </c>
      <c r="D125" s="2">
        <v>1816</v>
      </c>
      <c r="E125" s="2">
        <v>3942</v>
      </c>
      <c r="F125" s="2" t="s">
        <v>12</v>
      </c>
      <c r="G125" s="2" t="s">
        <v>41</v>
      </c>
      <c r="H125" s="15">
        <f t="shared" si="2"/>
        <v>2126</v>
      </c>
      <c r="I125" s="14">
        <f t="shared" si="3"/>
        <v>1.170704845814978</v>
      </c>
    </row>
    <row r="126" spans="1:9" x14ac:dyDescent="0.3">
      <c r="A126" s="2" t="s">
        <v>13</v>
      </c>
      <c r="B126" s="2" t="s">
        <v>10</v>
      </c>
      <c r="C126" s="2" t="s">
        <v>26</v>
      </c>
      <c r="D126" s="2">
        <v>2553</v>
      </c>
      <c r="E126" s="2">
        <v>3881</v>
      </c>
      <c r="F126" s="2" t="s">
        <v>12</v>
      </c>
      <c r="G126" s="2" t="s">
        <v>41</v>
      </c>
      <c r="H126" s="15">
        <f t="shared" si="2"/>
        <v>1328</v>
      </c>
      <c r="I126" s="14">
        <f t="shared" si="3"/>
        <v>0.52017234625930275</v>
      </c>
    </row>
    <row r="127" spans="1:9" x14ac:dyDescent="0.3">
      <c r="A127" s="2" t="s">
        <v>33</v>
      </c>
      <c r="B127" s="2" t="s">
        <v>7</v>
      </c>
      <c r="C127" s="2" t="s">
        <v>34</v>
      </c>
      <c r="D127" s="2">
        <v>8243</v>
      </c>
      <c r="E127" s="2">
        <v>10125</v>
      </c>
      <c r="F127" s="2" t="s">
        <v>12</v>
      </c>
      <c r="G127" s="2" t="s">
        <v>41</v>
      </c>
      <c r="H127" s="15">
        <f t="shared" si="2"/>
        <v>1882</v>
      </c>
      <c r="I127" s="14">
        <f t="shared" si="3"/>
        <v>0.22831493388329491</v>
      </c>
    </row>
    <row r="128" spans="1:9" x14ac:dyDescent="0.3">
      <c r="A128" s="2" t="s">
        <v>6</v>
      </c>
      <c r="B128" s="2" t="s">
        <v>23</v>
      </c>
      <c r="C128" s="2" t="s">
        <v>29</v>
      </c>
      <c r="D128" s="2">
        <v>6346</v>
      </c>
      <c r="E128" s="2">
        <v>6459</v>
      </c>
      <c r="F128" s="2" t="s">
        <v>19</v>
      </c>
      <c r="G128" s="2" t="s">
        <v>41</v>
      </c>
      <c r="H128" s="15">
        <f t="shared" si="2"/>
        <v>113</v>
      </c>
      <c r="I128" s="14">
        <f t="shared" si="3"/>
        <v>1.7806492278600695E-2</v>
      </c>
    </row>
    <row r="129" spans="1:9" x14ac:dyDescent="0.3">
      <c r="A129" s="2" t="s">
        <v>16</v>
      </c>
      <c r="B129" s="2" t="s">
        <v>25</v>
      </c>
      <c r="C129" s="2" t="s">
        <v>26</v>
      </c>
      <c r="D129" s="2">
        <v>3615</v>
      </c>
      <c r="E129" s="2">
        <v>3735</v>
      </c>
      <c r="F129" s="2" t="s">
        <v>19</v>
      </c>
      <c r="G129" s="2" t="s">
        <v>41</v>
      </c>
      <c r="H129" s="15">
        <f t="shared" si="2"/>
        <v>120</v>
      </c>
      <c r="I129" s="14">
        <f t="shared" si="3"/>
        <v>3.3195020746887967E-2</v>
      </c>
    </row>
    <row r="130" spans="1:9" x14ac:dyDescent="0.3">
      <c r="A130" s="2" t="s">
        <v>9</v>
      </c>
      <c r="B130" s="2" t="s">
        <v>28</v>
      </c>
      <c r="C130" s="2" t="s">
        <v>29</v>
      </c>
      <c r="D130" s="2">
        <v>5399</v>
      </c>
      <c r="E130" s="2">
        <v>6127</v>
      </c>
      <c r="F130" s="2" t="s">
        <v>36</v>
      </c>
      <c r="G130" s="2" t="s">
        <v>41</v>
      </c>
      <c r="H130" s="15">
        <f t="shared" si="2"/>
        <v>728</v>
      </c>
      <c r="I130" s="14">
        <f t="shared" si="3"/>
        <v>0.1348397851453973</v>
      </c>
    </row>
    <row r="131" spans="1:9" x14ac:dyDescent="0.3">
      <c r="A131" s="2" t="s">
        <v>27</v>
      </c>
      <c r="B131" s="2" t="s">
        <v>10</v>
      </c>
      <c r="C131" s="2" t="s">
        <v>32</v>
      </c>
      <c r="D131" s="2">
        <v>5806</v>
      </c>
      <c r="E131" s="2">
        <v>2415</v>
      </c>
      <c r="F131" s="2" t="s">
        <v>15</v>
      </c>
      <c r="G131" s="2" t="s">
        <v>42</v>
      </c>
      <c r="H131" s="15">
        <f t="shared" ref="H131:H194" si="4">(E131-D131)</f>
        <v>-3391</v>
      </c>
      <c r="I131" s="14">
        <f t="shared" ref="I131:I194" si="5">H131/D131</f>
        <v>-0.5840509817430245</v>
      </c>
    </row>
    <row r="132" spans="1:9" x14ac:dyDescent="0.3">
      <c r="A132" s="2" t="s">
        <v>33</v>
      </c>
      <c r="B132" s="2" t="s">
        <v>10</v>
      </c>
      <c r="C132" s="2" t="s">
        <v>11</v>
      </c>
      <c r="D132" s="2">
        <v>1837</v>
      </c>
      <c r="E132" s="2">
        <v>7341</v>
      </c>
      <c r="F132" s="2" t="s">
        <v>19</v>
      </c>
      <c r="G132" s="2" t="s">
        <v>41</v>
      </c>
      <c r="H132" s="15">
        <f t="shared" si="4"/>
        <v>5504</v>
      </c>
      <c r="I132" s="14">
        <f t="shared" si="5"/>
        <v>2.9961894393032118</v>
      </c>
    </row>
    <row r="133" spans="1:9" x14ac:dyDescent="0.3">
      <c r="A133" s="2" t="s">
        <v>6</v>
      </c>
      <c r="B133" s="2" t="s">
        <v>25</v>
      </c>
      <c r="C133" s="2" t="s">
        <v>21</v>
      </c>
      <c r="D133" s="2">
        <v>1585</v>
      </c>
      <c r="E133" s="2">
        <v>8036</v>
      </c>
      <c r="F133" s="2" t="s">
        <v>19</v>
      </c>
      <c r="G133" s="2" t="s">
        <v>41</v>
      </c>
      <c r="H133" s="15">
        <f t="shared" si="4"/>
        <v>6451</v>
      </c>
      <c r="I133" s="14">
        <f t="shared" si="5"/>
        <v>4.0700315457413252</v>
      </c>
    </row>
    <row r="134" spans="1:9" x14ac:dyDescent="0.3">
      <c r="A134" s="2" t="s">
        <v>6</v>
      </c>
      <c r="B134" s="2" t="s">
        <v>25</v>
      </c>
      <c r="C134" s="2" t="s">
        <v>18</v>
      </c>
      <c r="D134" s="2">
        <v>4704</v>
      </c>
      <c r="E134" s="2">
        <v>1099</v>
      </c>
      <c r="F134" s="2" t="s">
        <v>12</v>
      </c>
      <c r="G134" s="2" t="s">
        <v>42</v>
      </c>
      <c r="H134" s="15">
        <f t="shared" si="4"/>
        <v>-3605</v>
      </c>
      <c r="I134" s="14">
        <f t="shared" si="5"/>
        <v>-0.76636904761904767</v>
      </c>
    </row>
    <row r="135" spans="1:9" x14ac:dyDescent="0.3">
      <c r="A135" s="2" t="s">
        <v>9</v>
      </c>
      <c r="B135" s="2" t="s">
        <v>25</v>
      </c>
      <c r="C135" s="2" t="s">
        <v>32</v>
      </c>
      <c r="D135" s="2">
        <v>6386</v>
      </c>
      <c r="E135" s="2">
        <v>6028</v>
      </c>
      <c r="F135" s="2" t="s">
        <v>19</v>
      </c>
      <c r="G135" s="2" t="s">
        <v>42</v>
      </c>
      <c r="H135" s="15">
        <f t="shared" si="4"/>
        <v>-358</v>
      </c>
      <c r="I135" s="14">
        <f t="shared" si="5"/>
        <v>-5.6060131537738804E-2</v>
      </c>
    </row>
    <row r="136" spans="1:9" x14ac:dyDescent="0.3">
      <c r="A136" s="2" t="s">
        <v>9</v>
      </c>
      <c r="B136" s="2" t="s">
        <v>35</v>
      </c>
      <c r="C136" s="2" t="s">
        <v>17</v>
      </c>
      <c r="D136" s="2">
        <v>7733</v>
      </c>
      <c r="E136" s="2">
        <v>4773</v>
      </c>
      <c r="F136" s="2" t="s">
        <v>19</v>
      </c>
      <c r="G136" s="2" t="s">
        <v>42</v>
      </c>
      <c r="H136" s="15">
        <f t="shared" si="4"/>
        <v>-2960</v>
      </c>
      <c r="I136" s="14">
        <f t="shared" si="5"/>
        <v>-0.38277511961722488</v>
      </c>
    </row>
    <row r="137" spans="1:9" x14ac:dyDescent="0.3">
      <c r="A137" s="2" t="s">
        <v>33</v>
      </c>
      <c r="B137" s="2" t="s">
        <v>28</v>
      </c>
      <c r="C137" s="2" t="s">
        <v>26</v>
      </c>
      <c r="D137" s="2">
        <v>4382</v>
      </c>
      <c r="E137" s="2">
        <v>2988</v>
      </c>
      <c r="F137" s="2" t="s">
        <v>36</v>
      </c>
      <c r="G137" s="2" t="s">
        <v>42</v>
      </c>
      <c r="H137" s="15">
        <f t="shared" si="4"/>
        <v>-1394</v>
      </c>
      <c r="I137" s="14">
        <f t="shared" si="5"/>
        <v>-0.31811958010041075</v>
      </c>
    </row>
    <row r="138" spans="1:9" x14ac:dyDescent="0.3">
      <c r="A138" s="2" t="s">
        <v>27</v>
      </c>
      <c r="B138" s="2" t="s">
        <v>23</v>
      </c>
      <c r="C138" s="2" t="s">
        <v>11</v>
      </c>
      <c r="D138" s="2">
        <v>7398</v>
      </c>
      <c r="E138" s="2">
        <v>11208</v>
      </c>
      <c r="F138" s="2" t="s">
        <v>36</v>
      </c>
      <c r="G138" s="2" t="s">
        <v>41</v>
      </c>
      <c r="H138" s="15">
        <f t="shared" si="4"/>
        <v>3810</v>
      </c>
      <c r="I138" s="14">
        <f t="shared" si="5"/>
        <v>0.51500405515004055</v>
      </c>
    </row>
    <row r="139" spans="1:9" x14ac:dyDescent="0.3">
      <c r="A139" s="2" t="s">
        <v>22</v>
      </c>
      <c r="B139" s="2" t="s">
        <v>28</v>
      </c>
      <c r="C139" s="2" t="s">
        <v>34</v>
      </c>
      <c r="D139" s="2">
        <v>9867</v>
      </c>
      <c r="E139" s="2">
        <v>8693</v>
      </c>
      <c r="F139" s="2" t="s">
        <v>36</v>
      </c>
      <c r="G139" s="2" t="s">
        <v>42</v>
      </c>
      <c r="H139" s="15">
        <f t="shared" si="4"/>
        <v>-1174</v>
      </c>
      <c r="I139" s="14">
        <f t="shared" si="5"/>
        <v>-0.11898246680855376</v>
      </c>
    </row>
    <row r="140" spans="1:9" x14ac:dyDescent="0.3">
      <c r="A140" s="2" t="s">
        <v>6</v>
      </c>
      <c r="B140" s="2" t="s">
        <v>7</v>
      </c>
      <c r="C140" s="2" t="s">
        <v>18</v>
      </c>
      <c r="D140" s="2">
        <v>8813</v>
      </c>
      <c r="E140" s="2">
        <v>8553</v>
      </c>
      <c r="F140" s="2" t="s">
        <v>12</v>
      </c>
      <c r="G140" s="2" t="s">
        <v>42</v>
      </c>
      <c r="H140" s="15">
        <f t="shared" si="4"/>
        <v>-260</v>
      </c>
      <c r="I140" s="14">
        <f t="shared" si="5"/>
        <v>-2.9501872234199478E-2</v>
      </c>
    </row>
    <row r="141" spans="1:9" x14ac:dyDescent="0.3">
      <c r="A141" s="2" t="s">
        <v>13</v>
      </c>
      <c r="B141" s="2" t="s">
        <v>28</v>
      </c>
      <c r="C141" s="2" t="s">
        <v>32</v>
      </c>
      <c r="D141" s="2">
        <v>7276</v>
      </c>
      <c r="E141" s="2">
        <v>7102</v>
      </c>
      <c r="F141" s="2" t="s">
        <v>19</v>
      </c>
      <c r="G141" s="2" t="s">
        <v>42</v>
      </c>
      <c r="H141" s="15">
        <f t="shared" si="4"/>
        <v>-174</v>
      </c>
      <c r="I141" s="14">
        <f t="shared" si="5"/>
        <v>-2.3914238592633315E-2</v>
      </c>
    </row>
    <row r="142" spans="1:9" x14ac:dyDescent="0.3">
      <c r="A142" s="2" t="s">
        <v>13</v>
      </c>
      <c r="B142" s="2" t="s">
        <v>7</v>
      </c>
      <c r="C142" s="2" t="s">
        <v>32</v>
      </c>
      <c r="D142" s="2">
        <v>8998</v>
      </c>
      <c r="E142" s="2">
        <v>11610</v>
      </c>
      <c r="F142" s="2" t="s">
        <v>15</v>
      </c>
      <c r="G142" s="2" t="s">
        <v>41</v>
      </c>
      <c r="H142" s="15">
        <f t="shared" si="4"/>
        <v>2612</v>
      </c>
      <c r="I142" s="14">
        <f t="shared" si="5"/>
        <v>0.2902867303845299</v>
      </c>
    </row>
    <row r="143" spans="1:9" x14ac:dyDescent="0.3">
      <c r="A143" s="2" t="s">
        <v>27</v>
      </c>
      <c r="B143" s="2" t="s">
        <v>10</v>
      </c>
      <c r="C143" s="2" t="s">
        <v>18</v>
      </c>
      <c r="D143" s="2">
        <v>1274</v>
      </c>
      <c r="E143" s="2">
        <v>1938</v>
      </c>
      <c r="F143" s="2" t="s">
        <v>15</v>
      </c>
      <c r="G143" s="2" t="s">
        <v>41</v>
      </c>
      <c r="H143" s="15">
        <f t="shared" si="4"/>
        <v>664</v>
      </c>
      <c r="I143" s="14">
        <f t="shared" si="5"/>
        <v>0.52119309262166402</v>
      </c>
    </row>
    <row r="144" spans="1:9" x14ac:dyDescent="0.3">
      <c r="A144" s="2" t="s">
        <v>6</v>
      </c>
      <c r="B144" s="2" t="s">
        <v>25</v>
      </c>
      <c r="C144" s="2" t="s">
        <v>14</v>
      </c>
      <c r="D144" s="2">
        <v>5123</v>
      </c>
      <c r="E144" s="2">
        <v>7843</v>
      </c>
      <c r="F144" s="2" t="s">
        <v>12</v>
      </c>
      <c r="G144" s="2" t="s">
        <v>41</v>
      </c>
      <c r="H144" s="15">
        <f t="shared" si="4"/>
        <v>2720</v>
      </c>
      <c r="I144" s="14">
        <f t="shared" si="5"/>
        <v>0.53093890298653135</v>
      </c>
    </row>
    <row r="145" spans="1:9" x14ac:dyDescent="0.3">
      <c r="A145" s="2" t="s">
        <v>13</v>
      </c>
      <c r="B145" s="2" t="s">
        <v>10</v>
      </c>
      <c r="C145" s="2" t="s">
        <v>14</v>
      </c>
      <c r="D145" s="2">
        <v>7064</v>
      </c>
      <c r="E145" s="2">
        <v>2139</v>
      </c>
      <c r="F145" s="2" t="s">
        <v>36</v>
      </c>
      <c r="G145" s="2" t="s">
        <v>42</v>
      </c>
      <c r="H145" s="15">
        <f t="shared" si="4"/>
        <v>-4925</v>
      </c>
      <c r="I145" s="14">
        <f t="shared" si="5"/>
        <v>-0.69719705549263877</v>
      </c>
    </row>
    <row r="146" spans="1:9" x14ac:dyDescent="0.3">
      <c r="A146" s="2" t="s">
        <v>22</v>
      </c>
      <c r="B146" s="2" t="s">
        <v>31</v>
      </c>
      <c r="C146" s="2" t="s">
        <v>20</v>
      </c>
      <c r="D146" s="2">
        <v>8321</v>
      </c>
      <c r="E146" s="2">
        <v>7191</v>
      </c>
      <c r="F146" s="2" t="s">
        <v>19</v>
      </c>
      <c r="G146" s="2" t="s">
        <v>42</v>
      </c>
      <c r="H146" s="15">
        <f t="shared" si="4"/>
        <v>-1130</v>
      </c>
      <c r="I146" s="14">
        <f t="shared" si="5"/>
        <v>-0.13580098545847855</v>
      </c>
    </row>
    <row r="147" spans="1:9" x14ac:dyDescent="0.3">
      <c r="A147" s="2" t="s">
        <v>27</v>
      </c>
      <c r="B147" s="2" t="s">
        <v>35</v>
      </c>
      <c r="C147" s="2" t="s">
        <v>14</v>
      </c>
      <c r="D147" s="2">
        <v>5624</v>
      </c>
      <c r="E147" s="2">
        <v>9652</v>
      </c>
      <c r="F147" s="2" t="s">
        <v>30</v>
      </c>
      <c r="G147" s="2" t="s">
        <v>41</v>
      </c>
      <c r="H147" s="15">
        <f t="shared" si="4"/>
        <v>4028</v>
      </c>
      <c r="I147" s="14">
        <f t="shared" si="5"/>
        <v>0.71621621621621623</v>
      </c>
    </row>
    <row r="148" spans="1:9" x14ac:dyDescent="0.3">
      <c r="A148" s="2" t="s">
        <v>16</v>
      </c>
      <c r="B148" s="2" t="s">
        <v>28</v>
      </c>
      <c r="C148" s="2" t="s">
        <v>20</v>
      </c>
      <c r="D148" s="2">
        <v>3363</v>
      </c>
      <c r="E148" s="2">
        <v>7558</v>
      </c>
      <c r="F148" s="2" t="s">
        <v>36</v>
      </c>
      <c r="G148" s="2" t="s">
        <v>41</v>
      </c>
      <c r="H148" s="15">
        <f t="shared" si="4"/>
        <v>4195</v>
      </c>
      <c r="I148" s="14">
        <f t="shared" si="5"/>
        <v>1.247398156407969</v>
      </c>
    </row>
    <row r="149" spans="1:9" x14ac:dyDescent="0.3">
      <c r="A149" s="2" t="s">
        <v>27</v>
      </c>
      <c r="B149" s="2" t="s">
        <v>25</v>
      </c>
      <c r="C149" s="2" t="s">
        <v>18</v>
      </c>
      <c r="D149" s="2">
        <v>3860</v>
      </c>
      <c r="E149" s="2">
        <v>965</v>
      </c>
      <c r="F149" s="2" t="s">
        <v>19</v>
      </c>
      <c r="G149" s="2" t="s">
        <v>42</v>
      </c>
      <c r="H149" s="15">
        <f t="shared" si="4"/>
        <v>-2895</v>
      </c>
      <c r="I149" s="14">
        <f t="shared" si="5"/>
        <v>-0.75</v>
      </c>
    </row>
    <row r="150" spans="1:9" x14ac:dyDescent="0.3">
      <c r="A150" s="2" t="s">
        <v>13</v>
      </c>
      <c r="B150" s="2" t="s">
        <v>7</v>
      </c>
      <c r="C150" s="2" t="s">
        <v>26</v>
      </c>
      <c r="D150" s="2">
        <v>6061</v>
      </c>
      <c r="E150" s="2">
        <v>3903</v>
      </c>
      <c r="F150" s="2" t="s">
        <v>36</v>
      </c>
      <c r="G150" s="2" t="s">
        <v>42</v>
      </c>
      <c r="H150" s="15">
        <f t="shared" si="4"/>
        <v>-2158</v>
      </c>
      <c r="I150" s="14">
        <f t="shared" si="5"/>
        <v>-0.356046856954298</v>
      </c>
    </row>
    <row r="151" spans="1:9" x14ac:dyDescent="0.3">
      <c r="A151" s="2" t="s">
        <v>6</v>
      </c>
      <c r="B151" s="2" t="s">
        <v>31</v>
      </c>
      <c r="C151" s="2" t="s">
        <v>32</v>
      </c>
      <c r="D151" s="2">
        <v>8470</v>
      </c>
      <c r="E151" s="2">
        <v>5246</v>
      </c>
      <c r="F151" s="2" t="s">
        <v>36</v>
      </c>
      <c r="G151" s="2" t="s">
        <v>42</v>
      </c>
      <c r="H151" s="15">
        <f t="shared" si="4"/>
        <v>-3224</v>
      </c>
      <c r="I151" s="14">
        <f t="shared" si="5"/>
        <v>-0.38063754427390789</v>
      </c>
    </row>
    <row r="152" spans="1:9" x14ac:dyDescent="0.3">
      <c r="A152" s="2" t="s">
        <v>9</v>
      </c>
      <c r="B152" s="2" t="s">
        <v>35</v>
      </c>
      <c r="C152" s="2" t="s">
        <v>14</v>
      </c>
      <c r="D152" s="2">
        <v>6850</v>
      </c>
      <c r="E152" s="2">
        <v>5804</v>
      </c>
      <c r="F152" s="2" t="s">
        <v>30</v>
      </c>
      <c r="G152" s="2" t="s">
        <v>42</v>
      </c>
      <c r="H152" s="15">
        <f t="shared" si="4"/>
        <v>-1046</v>
      </c>
      <c r="I152" s="14">
        <f t="shared" si="5"/>
        <v>-0.15270072992700731</v>
      </c>
    </row>
    <row r="153" spans="1:9" x14ac:dyDescent="0.3">
      <c r="A153" s="2" t="s">
        <v>33</v>
      </c>
      <c r="B153" s="2" t="s">
        <v>23</v>
      </c>
      <c r="C153" s="2" t="s">
        <v>11</v>
      </c>
      <c r="D153" s="2">
        <v>6963</v>
      </c>
      <c r="E153" s="2">
        <v>7460</v>
      </c>
      <c r="F153" s="2" t="s">
        <v>19</v>
      </c>
      <c r="G153" s="2" t="s">
        <v>41</v>
      </c>
      <c r="H153" s="15">
        <f t="shared" si="4"/>
        <v>497</v>
      </c>
      <c r="I153" s="14">
        <f t="shared" si="5"/>
        <v>7.1377279908085595E-2</v>
      </c>
    </row>
    <row r="154" spans="1:9" x14ac:dyDescent="0.3">
      <c r="A154" s="2" t="s">
        <v>13</v>
      </c>
      <c r="B154" s="2" t="s">
        <v>35</v>
      </c>
      <c r="C154" s="2" t="s">
        <v>8</v>
      </c>
      <c r="D154" s="2">
        <v>8235</v>
      </c>
      <c r="E154" s="2">
        <v>11316</v>
      </c>
      <c r="F154" s="2" t="s">
        <v>30</v>
      </c>
      <c r="G154" s="2" t="s">
        <v>41</v>
      </c>
      <c r="H154" s="15">
        <f t="shared" si="4"/>
        <v>3081</v>
      </c>
      <c r="I154" s="14">
        <f t="shared" si="5"/>
        <v>0.37413479052823317</v>
      </c>
    </row>
    <row r="155" spans="1:9" x14ac:dyDescent="0.3">
      <c r="A155" s="2" t="s">
        <v>27</v>
      </c>
      <c r="B155" s="2" t="s">
        <v>35</v>
      </c>
      <c r="C155" s="2" t="s">
        <v>29</v>
      </c>
      <c r="D155" s="2">
        <v>4770</v>
      </c>
      <c r="E155" s="2">
        <v>5145</v>
      </c>
      <c r="F155" s="2" t="s">
        <v>15</v>
      </c>
      <c r="G155" s="2" t="s">
        <v>41</v>
      </c>
      <c r="H155" s="15">
        <f t="shared" si="4"/>
        <v>375</v>
      </c>
      <c r="I155" s="14">
        <f t="shared" si="5"/>
        <v>7.8616352201257858E-2</v>
      </c>
    </row>
    <row r="156" spans="1:9" x14ac:dyDescent="0.3">
      <c r="A156" s="2" t="s">
        <v>9</v>
      </c>
      <c r="B156" s="2" t="s">
        <v>31</v>
      </c>
      <c r="C156" s="2" t="s">
        <v>11</v>
      </c>
      <c r="D156" s="2">
        <v>6281</v>
      </c>
      <c r="E156" s="2">
        <v>2852</v>
      </c>
      <c r="F156" s="2" t="s">
        <v>19</v>
      </c>
      <c r="G156" s="2" t="s">
        <v>42</v>
      </c>
      <c r="H156" s="15">
        <f t="shared" si="4"/>
        <v>-3429</v>
      </c>
      <c r="I156" s="14">
        <f t="shared" si="5"/>
        <v>-0.545932176405031</v>
      </c>
    </row>
    <row r="157" spans="1:9" x14ac:dyDescent="0.3">
      <c r="A157" s="2" t="s">
        <v>33</v>
      </c>
      <c r="B157" s="2" t="s">
        <v>31</v>
      </c>
      <c r="C157" s="2" t="s">
        <v>24</v>
      </c>
      <c r="D157" s="2">
        <v>6818</v>
      </c>
      <c r="E157" s="2">
        <v>4819</v>
      </c>
      <c r="F157" s="2" t="s">
        <v>36</v>
      </c>
      <c r="G157" s="2" t="s">
        <v>42</v>
      </c>
      <c r="H157" s="15">
        <f t="shared" si="4"/>
        <v>-1999</v>
      </c>
      <c r="I157" s="14">
        <f t="shared" si="5"/>
        <v>-0.29319448518627161</v>
      </c>
    </row>
    <row r="158" spans="1:9" x14ac:dyDescent="0.3">
      <c r="A158" s="2" t="s">
        <v>9</v>
      </c>
      <c r="B158" s="2" t="s">
        <v>25</v>
      </c>
      <c r="C158" s="2" t="s">
        <v>32</v>
      </c>
      <c r="D158" s="2">
        <v>7068</v>
      </c>
      <c r="E158" s="2">
        <v>10517</v>
      </c>
      <c r="F158" s="2" t="s">
        <v>30</v>
      </c>
      <c r="G158" s="2" t="s">
        <v>41</v>
      </c>
      <c r="H158" s="15">
        <f t="shared" si="4"/>
        <v>3449</v>
      </c>
      <c r="I158" s="14">
        <f t="shared" si="5"/>
        <v>0.48797396717600455</v>
      </c>
    </row>
    <row r="159" spans="1:9" x14ac:dyDescent="0.3">
      <c r="A159" s="2" t="s">
        <v>13</v>
      </c>
      <c r="B159" s="2" t="s">
        <v>28</v>
      </c>
      <c r="C159" s="2" t="s">
        <v>17</v>
      </c>
      <c r="D159" s="2">
        <v>8822</v>
      </c>
      <c r="E159" s="2">
        <v>8070</v>
      </c>
      <c r="F159" s="2" t="s">
        <v>15</v>
      </c>
      <c r="G159" s="2" t="s">
        <v>42</v>
      </c>
      <c r="H159" s="15">
        <f t="shared" si="4"/>
        <v>-752</v>
      </c>
      <c r="I159" s="14">
        <f t="shared" si="5"/>
        <v>-8.5241441849920649E-2</v>
      </c>
    </row>
    <row r="160" spans="1:9" x14ac:dyDescent="0.3">
      <c r="A160" s="2" t="s">
        <v>6</v>
      </c>
      <c r="B160" s="2" t="s">
        <v>23</v>
      </c>
      <c r="C160" s="2" t="s">
        <v>34</v>
      </c>
      <c r="D160" s="2">
        <v>3336</v>
      </c>
      <c r="E160" s="2">
        <v>6550</v>
      </c>
      <c r="F160" s="2" t="s">
        <v>36</v>
      </c>
      <c r="G160" s="2" t="s">
        <v>41</v>
      </c>
      <c r="H160" s="15">
        <f t="shared" si="4"/>
        <v>3214</v>
      </c>
      <c r="I160" s="14">
        <f t="shared" si="5"/>
        <v>0.96342925659472423</v>
      </c>
    </row>
    <row r="161" spans="1:9" x14ac:dyDescent="0.3">
      <c r="A161" s="2" t="s">
        <v>9</v>
      </c>
      <c r="B161" s="2" t="s">
        <v>23</v>
      </c>
      <c r="C161" s="2" t="s">
        <v>17</v>
      </c>
      <c r="D161" s="2">
        <v>3291</v>
      </c>
      <c r="E161" s="2">
        <v>9771</v>
      </c>
      <c r="F161" s="2" t="s">
        <v>12</v>
      </c>
      <c r="G161" s="2" t="s">
        <v>41</v>
      </c>
      <c r="H161" s="15">
        <f t="shared" si="4"/>
        <v>6480</v>
      </c>
      <c r="I161" s="14">
        <f t="shared" si="5"/>
        <v>1.9690063810391978</v>
      </c>
    </row>
    <row r="162" spans="1:9" x14ac:dyDescent="0.3">
      <c r="A162" s="2" t="s">
        <v>22</v>
      </c>
      <c r="B162" s="2" t="s">
        <v>28</v>
      </c>
      <c r="C162" s="2" t="s">
        <v>21</v>
      </c>
      <c r="D162" s="2">
        <v>9356</v>
      </c>
      <c r="E162" s="2">
        <v>11851</v>
      </c>
      <c r="F162" s="2" t="s">
        <v>19</v>
      </c>
      <c r="G162" s="2" t="s">
        <v>41</v>
      </c>
      <c r="H162" s="15">
        <f t="shared" si="4"/>
        <v>2495</v>
      </c>
      <c r="I162" s="14">
        <f t="shared" si="5"/>
        <v>0.26667379221889698</v>
      </c>
    </row>
    <row r="163" spans="1:9" x14ac:dyDescent="0.3">
      <c r="A163" s="2" t="s">
        <v>6</v>
      </c>
      <c r="B163" s="2" t="s">
        <v>31</v>
      </c>
      <c r="C163" s="2" t="s">
        <v>32</v>
      </c>
      <c r="D163" s="2">
        <v>4391</v>
      </c>
      <c r="E163" s="2">
        <v>3112</v>
      </c>
      <c r="F163" s="2" t="s">
        <v>12</v>
      </c>
      <c r="G163" s="2" t="s">
        <v>42</v>
      </c>
      <c r="H163" s="15">
        <f t="shared" si="4"/>
        <v>-1279</v>
      </c>
      <c r="I163" s="14">
        <f t="shared" si="5"/>
        <v>-0.29127761329993168</v>
      </c>
    </row>
    <row r="164" spans="1:9" x14ac:dyDescent="0.3">
      <c r="A164" s="2" t="s">
        <v>13</v>
      </c>
      <c r="B164" s="2" t="s">
        <v>31</v>
      </c>
      <c r="C164" s="2" t="s">
        <v>8</v>
      </c>
      <c r="D164" s="2">
        <v>1408</v>
      </c>
      <c r="E164" s="2">
        <v>5018</v>
      </c>
      <c r="F164" s="2" t="s">
        <v>15</v>
      </c>
      <c r="G164" s="2" t="s">
        <v>41</v>
      </c>
      <c r="H164" s="15">
        <f t="shared" si="4"/>
        <v>3610</v>
      </c>
      <c r="I164" s="14">
        <f t="shared" si="5"/>
        <v>2.5639204545454546</v>
      </c>
    </row>
    <row r="165" spans="1:9" x14ac:dyDescent="0.3">
      <c r="A165" s="2" t="s">
        <v>33</v>
      </c>
      <c r="B165" s="2" t="s">
        <v>10</v>
      </c>
      <c r="C165" s="2" t="s">
        <v>34</v>
      </c>
      <c r="D165" s="2">
        <v>7553</v>
      </c>
      <c r="E165" s="2">
        <v>4643</v>
      </c>
      <c r="F165" s="2" t="s">
        <v>15</v>
      </c>
      <c r="G165" s="2" t="s">
        <v>42</v>
      </c>
      <c r="H165" s="15">
        <f t="shared" si="4"/>
        <v>-2910</v>
      </c>
      <c r="I165" s="14">
        <f t="shared" si="5"/>
        <v>-0.38527737322918043</v>
      </c>
    </row>
    <row r="166" spans="1:9" x14ac:dyDescent="0.3">
      <c r="A166" s="2" t="s">
        <v>9</v>
      </c>
      <c r="B166" s="2" t="s">
        <v>25</v>
      </c>
      <c r="C166" s="2" t="s">
        <v>18</v>
      </c>
      <c r="D166" s="2">
        <v>4348</v>
      </c>
      <c r="E166" s="2">
        <v>1086</v>
      </c>
      <c r="F166" s="2" t="s">
        <v>36</v>
      </c>
      <c r="G166" s="2" t="s">
        <v>42</v>
      </c>
      <c r="H166" s="15">
        <f t="shared" si="4"/>
        <v>-3262</v>
      </c>
      <c r="I166" s="14">
        <f t="shared" si="5"/>
        <v>-0.75022999080036801</v>
      </c>
    </row>
    <row r="167" spans="1:9" x14ac:dyDescent="0.3">
      <c r="A167" s="2" t="s">
        <v>33</v>
      </c>
      <c r="B167" s="2" t="s">
        <v>28</v>
      </c>
      <c r="C167" s="2" t="s">
        <v>8</v>
      </c>
      <c r="D167" s="2">
        <v>3548</v>
      </c>
      <c r="E167" s="2">
        <v>3142</v>
      </c>
      <c r="F167" s="2" t="s">
        <v>15</v>
      </c>
      <c r="G167" s="2" t="s">
        <v>42</v>
      </c>
      <c r="H167" s="15">
        <f t="shared" si="4"/>
        <v>-406</v>
      </c>
      <c r="I167" s="14">
        <f t="shared" si="5"/>
        <v>-0.11443066516347238</v>
      </c>
    </row>
    <row r="168" spans="1:9" x14ac:dyDescent="0.3">
      <c r="A168" s="2" t="s">
        <v>6</v>
      </c>
      <c r="B168" s="2" t="s">
        <v>31</v>
      </c>
      <c r="C168" s="2" t="s">
        <v>24</v>
      </c>
      <c r="D168" s="2">
        <v>8189</v>
      </c>
      <c r="E168" s="2">
        <v>8919</v>
      </c>
      <c r="F168" s="2" t="s">
        <v>12</v>
      </c>
      <c r="G168" s="2" t="s">
        <v>41</v>
      </c>
      <c r="H168" s="15">
        <f t="shared" si="4"/>
        <v>730</v>
      </c>
      <c r="I168" s="14">
        <f t="shared" si="5"/>
        <v>8.9143973623153017E-2</v>
      </c>
    </row>
    <row r="169" spans="1:9" x14ac:dyDescent="0.3">
      <c r="A169" s="2" t="s">
        <v>16</v>
      </c>
      <c r="B169" s="2" t="s">
        <v>23</v>
      </c>
      <c r="C169" s="2" t="s">
        <v>14</v>
      </c>
      <c r="D169" s="2">
        <v>3517</v>
      </c>
      <c r="E169" s="2">
        <v>8970</v>
      </c>
      <c r="F169" s="2" t="s">
        <v>36</v>
      </c>
      <c r="G169" s="2" t="s">
        <v>41</v>
      </c>
      <c r="H169" s="15">
        <f t="shared" si="4"/>
        <v>5453</v>
      </c>
      <c r="I169" s="14">
        <f t="shared" si="5"/>
        <v>1.5504691498436167</v>
      </c>
    </row>
    <row r="170" spans="1:9" x14ac:dyDescent="0.3">
      <c r="A170" s="2" t="s">
        <v>6</v>
      </c>
      <c r="B170" s="2" t="s">
        <v>31</v>
      </c>
      <c r="C170" s="2" t="s">
        <v>8</v>
      </c>
      <c r="D170" s="2">
        <v>9821</v>
      </c>
      <c r="E170" s="2">
        <v>7026</v>
      </c>
      <c r="F170" s="2" t="s">
        <v>36</v>
      </c>
      <c r="G170" s="2" t="s">
        <v>42</v>
      </c>
      <c r="H170" s="15">
        <f t="shared" si="4"/>
        <v>-2795</v>
      </c>
      <c r="I170" s="14">
        <f t="shared" si="5"/>
        <v>-0.2845942368394257</v>
      </c>
    </row>
    <row r="171" spans="1:9" x14ac:dyDescent="0.3">
      <c r="A171" s="2" t="s">
        <v>9</v>
      </c>
      <c r="B171" s="2" t="s">
        <v>28</v>
      </c>
      <c r="C171" s="2" t="s">
        <v>11</v>
      </c>
      <c r="D171" s="2">
        <v>5878</v>
      </c>
      <c r="E171" s="2">
        <v>4594</v>
      </c>
      <c r="F171" s="2" t="s">
        <v>30</v>
      </c>
      <c r="G171" s="2" t="s">
        <v>42</v>
      </c>
      <c r="H171" s="15">
        <f t="shared" si="4"/>
        <v>-1284</v>
      </c>
      <c r="I171" s="14">
        <f t="shared" si="5"/>
        <v>-0.21844164681864581</v>
      </c>
    </row>
    <row r="172" spans="1:9" x14ac:dyDescent="0.3">
      <c r="A172" s="2" t="s">
        <v>16</v>
      </c>
      <c r="B172" s="2" t="s">
        <v>7</v>
      </c>
      <c r="C172" s="2" t="s">
        <v>8</v>
      </c>
      <c r="D172" s="2">
        <v>9986</v>
      </c>
      <c r="E172" s="2">
        <v>6304</v>
      </c>
      <c r="F172" s="2" t="s">
        <v>36</v>
      </c>
      <c r="G172" s="2" t="s">
        <v>42</v>
      </c>
      <c r="H172" s="15">
        <f t="shared" si="4"/>
        <v>-3682</v>
      </c>
      <c r="I172" s="14">
        <f t="shared" si="5"/>
        <v>-0.36871620268375727</v>
      </c>
    </row>
    <row r="173" spans="1:9" x14ac:dyDescent="0.3">
      <c r="A173" s="2" t="s">
        <v>13</v>
      </c>
      <c r="B173" s="2" t="s">
        <v>35</v>
      </c>
      <c r="C173" s="2" t="s">
        <v>14</v>
      </c>
      <c r="D173" s="2">
        <v>1973</v>
      </c>
      <c r="E173" s="2">
        <v>6463</v>
      </c>
      <c r="F173" s="2" t="s">
        <v>30</v>
      </c>
      <c r="G173" s="2" t="s">
        <v>41</v>
      </c>
      <c r="H173" s="15">
        <f t="shared" si="4"/>
        <v>4490</v>
      </c>
      <c r="I173" s="14">
        <f t="shared" si="5"/>
        <v>2.2757222503801318</v>
      </c>
    </row>
    <row r="174" spans="1:9" x14ac:dyDescent="0.3">
      <c r="A174" s="2" t="s">
        <v>22</v>
      </c>
      <c r="B174" s="2" t="s">
        <v>7</v>
      </c>
      <c r="C174" s="2" t="s">
        <v>24</v>
      </c>
      <c r="D174" s="2">
        <v>5981</v>
      </c>
      <c r="E174" s="2">
        <v>10207</v>
      </c>
      <c r="F174" s="2" t="s">
        <v>30</v>
      </c>
      <c r="G174" s="2" t="s">
        <v>41</v>
      </c>
      <c r="H174" s="15">
        <f t="shared" si="4"/>
        <v>4226</v>
      </c>
      <c r="I174" s="14">
        <f t="shared" si="5"/>
        <v>0.70657080755726465</v>
      </c>
    </row>
    <row r="175" spans="1:9" x14ac:dyDescent="0.3">
      <c r="A175" s="2" t="s">
        <v>9</v>
      </c>
      <c r="B175" s="2" t="s">
        <v>31</v>
      </c>
      <c r="C175" s="2" t="s">
        <v>20</v>
      </c>
      <c r="D175" s="2">
        <v>9540</v>
      </c>
      <c r="E175" s="2">
        <v>1153</v>
      </c>
      <c r="F175" s="2" t="s">
        <v>36</v>
      </c>
      <c r="G175" s="2" t="s">
        <v>42</v>
      </c>
      <c r="H175" s="15">
        <f t="shared" si="4"/>
        <v>-8387</v>
      </c>
      <c r="I175" s="14">
        <f t="shared" si="5"/>
        <v>-0.87914046121593292</v>
      </c>
    </row>
    <row r="176" spans="1:9" x14ac:dyDescent="0.3">
      <c r="A176" s="2" t="s">
        <v>33</v>
      </c>
      <c r="B176" s="2" t="s">
        <v>35</v>
      </c>
      <c r="C176" s="2" t="s">
        <v>17</v>
      </c>
      <c r="D176" s="2">
        <v>6631</v>
      </c>
      <c r="E176" s="2">
        <v>5193</v>
      </c>
      <c r="F176" s="2" t="s">
        <v>12</v>
      </c>
      <c r="G176" s="2" t="s">
        <v>42</v>
      </c>
      <c r="H176" s="15">
        <f t="shared" si="4"/>
        <v>-1438</v>
      </c>
      <c r="I176" s="14">
        <f t="shared" si="5"/>
        <v>-0.21686020208113407</v>
      </c>
    </row>
    <row r="177" spans="1:9" x14ac:dyDescent="0.3">
      <c r="A177" s="2" t="s">
        <v>33</v>
      </c>
      <c r="B177" s="2" t="s">
        <v>10</v>
      </c>
      <c r="C177" s="2" t="s">
        <v>21</v>
      </c>
      <c r="D177" s="2">
        <v>3737</v>
      </c>
      <c r="E177" s="2">
        <v>814</v>
      </c>
      <c r="F177" s="2" t="s">
        <v>19</v>
      </c>
      <c r="G177" s="2" t="s">
        <v>42</v>
      </c>
      <c r="H177" s="15">
        <f t="shared" si="4"/>
        <v>-2923</v>
      </c>
      <c r="I177" s="14">
        <f t="shared" si="5"/>
        <v>-0.78217821782178221</v>
      </c>
    </row>
    <row r="178" spans="1:9" x14ac:dyDescent="0.3">
      <c r="A178" s="2" t="s">
        <v>13</v>
      </c>
      <c r="B178" s="2" t="s">
        <v>10</v>
      </c>
      <c r="C178" s="2" t="s">
        <v>21</v>
      </c>
      <c r="D178" s="2">
        <v>4941</v>
      </c>
      <c r="E178" s="2">
        <v>7764</v>
      </c>
      <c r="F178" s="2" t="s">
        <v>19</v>
      </c>
      <c r="G178" s="2" t="s">
        <v>41</v>
      </c>
      <c r="H178" s="15">
        <f t="shared" si="4"/>
        <v>2823</v>
      </c>
      <c r="I178" s="14">
        <f t="shared" si="5"/>
        <v>0.5713418336369156</v>
      </c>
    </row>
    <row r="179" spans="1:9" x14ac:dyDescent="0.3">
      <c r="A179" s="2" t="s">
        <v>16</v>
      </c>
      <c r="B179" s="2" t="s">
        <v>10</v>
      </c>
      <c r="C179" s="2" t="s">
        <v>8</v>
      </c>
      <c r="D179" s="2">
        <v>7569</v>
      </c>
      <c r="E179" s="2">
        <v>6793</v>
      </c>
      <c r="F179" s="2" t="s">
        <v>12</v>
      </c>
      <c r="G179" s="2" t="s">
        <v>42</v>
      </c>
      <c r="H179" s="15">
        <f t="shared" si="4"/>
        <v>-776</v>
      </c>
      <c r="I179" s="14">
        <f t="shared" si="5"/>
        <v>-0.10252345091821904</v>
      </c>
    </row>
    <row r="180" spans="1:9" x14ac:dyDescent="0.3">
      <c r="A180" s="2" t="s">
        <v>6</v>
      </c>
      <c r="B180" s="2" t="s">
        <v>35</v>
      </c>
      <c r="C180" s="2" t="s">
        <v>14</v>
      </c>
      <c r="D180" s="2">
        <v>8282</v>
      </c>
      <c r="E180" s="2">
        <v>6572</v>
      </c>
      <c r="F180" s="2" t="s">
        <v>19</v>
      </c>
      <c r="G180" s="2" t="s">
        <v>42</v>
      </c>
      <c r="H180" s="15">
        <f t="shared" si="4"/>
        <v>-1710</v>
      </c>
      <c r="I180" s="14">
        <f t="shared" si="5"/>
        <v>-0.206471866698865</v>
      </c>
    </row>
    <row r="181" spans="1:9" x14ac:dyDescent="0.3">
      <c r="A181" s="2" t="s">
        <v>22</v>
      </c>
      <c r="B181" s="2" t="s">
        <v>23</v>
      </c>
      <c r="C181" s="2" t="s">
        <v>11</v>
      </c>
      <c r="D181" s="2">
        <v>5707</v>
      </c>
      <c r="E181" s="2">
        <v>1247</v>
      </c>
      <c r="F181" s="2" t="s">
        <v>15</v>
      </c>
      <c r="G181" s="2" t="s">
        <v>42</v>
      </c>
      <c r="H181" s="15">
        <f t="shared" si="4"/>
        <v>-4460</v>
      </c>
      <c r="I181" s="14">
        <f t="shared" si="5"/>
        <v>-0.78149640792009811</v>
      </c>
    </row>
    <row r="182" spans="1:9" x14ac:dyDescent="0.3">
      <c r="A182" s="2" t="s">
        <v>16</v>
      </c>
      <c r="B182" s="2" t="s">
        <v>28</v>
      </c>
      <c r="C182" s="2" t="s">
        <v>14</v>
      </c>
      <c r="D182" s="2">
        <v>9793</v>
      </c>
      <c r="E182" s="2">
        <v>11068</v>
      </c>
      <c r="F182" s="2" t="s">
        <v>19</v>
      </c>
      <c r="G182" s="2" t="s">
        <v>41</v>
      </c>
      <c r="H182" s="15">
        <f t="shared" si="4"/>
        <v>1275</v>
      </c>
      <c r="I182" s="14">
        <f t="shared" si="5"/>
        <v>0.13019503727152049</v>
      </c>
    </row>
    <row r="183" spans="1:9" x14ac:dyDescent="0.3">
      <c r="A183" s="2" t="s">
        <v>9</v>
      </c>
      <c r="B183" s="2" t="s">
        <v>25</v>
      </c>
      <c r="C183" s="2" t="s">
        <v>11</v>
      </c>
      <c r="D183" s="2">
        <v>5682</v>
      </c>
      <c r="E183" s="2">
        <v>5406</v>
      </c>
      <c r="F183" s="2" t="s">
        <v>15</v>
      </c>
      <c r="G183" s="2" t="s">
        <v>42</v>
      </c>
      <c r="H183" s="15">
        <f t="shared" si="4"/>
        <v>-276</v>
      </c>
      <c r="I183" s="14">
        <f t="shared" si="5"/>
        <v>-4.8574445617740235E-2</v>
      </c>
    </row>
    <row r="184" spans="1:9" x14ac:dyDescent="0.3">
      <c r="A184" s="2" t="s">
        <v>6</v>
      </c>
      <c r="B184" s="2" t="s">
        <v>28</v>
      </c>
      <c r="C184" s="2" t="s">
        <v>26</v>
      </c>
      <c r="D184" s="2">
        <v>6208</v>
      </c>
      <c r="E184" s="2">
        <v>8384</v>
      </c>
      <c r="F184" s="2" t="s">
        <v>15</v>
      </c>
      <c r="G184" s="2" t="s">
        <v>41</v>
      </c>
      <c r="H184" s="15">
        <f t="shared" si="4"/>
        <v>2176</v>
      </c>
      <c r="I184" s="14">
        <f t="shared" si="5"/>
        <v>0.35051546391752575</v>
      </c>
    </row>
    <row r="185" spans="1:9" x14ac:dyDescent="0.3">
      <c r="A185" s="2" t="s">
        <v>6</v>
      </c>
      <c r="B185" s="2" t="s">
        <v>25</v>
      </c>
      <c r="C185" s="2" t="s">
        <v>20</v>
      </c>
      <c r="D185" s="2">
        <v>2120</v>
      </c>
      <c r="E185" s="2">
        <v>3045</v>
      </c>
      <c r="F185" s="2" t="s">
        <v>15</v>
      </c>
      <c r="G185" s="2" t="s">
        <v>41</v>
      </c>
      <c r="H185" s="15">
        <f t="shared" si="4"/>
        <v>925</v>
      </c>
      <c r="I185" s="14">
        <f t="shared" si="5"/>
        <v>0.43632075471698112</v>
      </c>
    </row>
    <row r="186" spans="1:9" x14ac:dyDescent="0.3">
      <c r="A186" s="2" t="s">
        <v>33</v>
      </c>
      <c r="B186" s="2" t="s">
        <v>28</v>
      </c>
      <c r="C186" s="2" t="s">
        <v>11</v>
      </c>
      <c r="D186" s="2">
        <v>6061</v>
      </c>
      <c r="E186" s="2">
        <v>11421</v>
      </c>
      <c r="F186" s="2" t="s">
        <v>36</v>
      </c>
      <c r="G186" s="2" t="s">
        <v>41</v>
      </c>
      <c r="H186" s="15">
        <f t="shared" si="4"/>
        <v>5360</v>
      </c>
      <c r="I186" s="14">
        <f t="shared" si="5"/>
        <v>0.88434251773634709</v>
      </c>
    </row>
    <row r="187" spans="1:9" x14ac:dyDescent="0.3">
      <c r="A187" s="2" t="s">
        <v>6</v>
      </c>
      <c r="B187" s="2" t="s">
        <v>23</v>
      </c>
      <c r="C187" s="2" t="s">
        <v>29</v>
      </c>
      <c r="D187" s="2">
        <v>7404</v>
      </c>
      <c r="E187" s="2">
        <v>7108</v>
      </c>
      <c r="F187" s="2" t="s">
        <v>19</v>
      </c>
      <c r="G187" s="2" t="s">
        <v>42</v>
      </c>
      <c r="H187" s="15">
        <f t="shared" si="4"/>
        <v>-296</v>
      </c>
      <c r="I187" s="14">
        <f t="shared" si="5"/>
        <v>-3.9978390059427334E-2</v>
      </c>
    </row>
    <row r="188" spans="1:9" x14ac:dyDescent="0.3">
      <c r="A188" s="2" t="s">
        <v>33</v>
      </c>
      <c r="B188" s="2" t="s">
        <v>35</v>
      </c>
      <c r="C188" s="2" t="s">
        <v>26</v>
      </c>
      <c r="D188" s="2">
        <v>8616</v>
      </c>
      <c r="E188" s="2">
        <v>3212</v>
      </c>
      <c r="F188" s="2" t="s">
        <v>15</v>
      </c>
      <c r="G188" s="2" t="s">
        <v>42</v>
      </c>
      <c r="H188" s="15">
        <f t="shared" si="4"/>
        <v>-5404</v>
      </c>
      <c r="I188" s="14">
        <f t="shared" si="5"/>
        <v>-0.627205199628598</v>
      </c>
    </row>
    <row r="189" spans="1:9" x14ac:dyDescent="0.3">
      <c r="A189" s="2" t="s">
        <v>27</v>
      </c>
      <c r="B189" s="2" t="s">
        <v>23</v>
      </c>
      <c r="C189" s="2" t="s">
        <v>34</v>
      </c>
      <c r="D189" s="2">
        <v>7610</v>
      </c>
      <c r="E189" s="2">
        <v>7804</v>
      </c>
      <c r="F189" s="2" t="s">
        <v>30</v>
      </c>
      <c r="G189" s="2" t="s">
        <v>41</v>
      </c>
      <c r="H189" s="15">
        <f t="shared" si="4"/>
        <v>194</v>
      </c>
      <c r="I189" s="14">
        <f t="shared" si="5"/>
        <v>2.5492772667542705E-2</v>
      </c>
    </row>
    <row r="190" spans="1:9" x14ac:dyDescent="0.3">
      <c r="A190" s="2" t="s">
        <v>9</v>
      </c>
      <c r="B190" s="2" t="s">
        <v>31</v>
      </c>
      <c r="C190" s="2" t="s">
        <v>26</v>
      </c>
      <c r="D190" s="2">
        <v>8538</v>
      </c>
      <c r="E190" s="2">
        <v>9089</v>
      </c>
      <c r="F190" s="2" t="s">
        <v>19</v>
      </c>
      <c r="G190" s="2" t="s">
        <v>41</v>
      </c>
      <c r="H190" s="15">
        <f t="shared" si="4"/>
        <v>551</v>
      </c>
      <c r="I190" s="14">
        <f t="shared" si="5"/>
        <v>6.4535019910986174E-2</v>
      </c>
    </row>
    <row r="191" spans="1:9" x14ac:dyDescent="0.3">
      <c r="A191" s="2" t="s">
        <v>13</v>
      </c>
      <c r="B191" s="2" t="s">
        <v>10</v>
      </c>
      <c r="C191" s="2" t="s">
        <v>11</v>
      </c>
      <c r="D191" s="2">
        <v>2560</v>
      </c>
      <c r="E191" s="2">
        <v>3967</v>
      </c>
      <c r="F191" s="2" t="s">
        <v>15</v>
      </c>
      <c r="G191" s="2" t="s">
        <v>41</v>
      </c>
      <c r="H191" s="15">
        <f t="shared" si="4"/>
        <v>1407</v>
      </c>
      <c r="I191" s="14">
        <f t="shared" si="5"/>
        <v>0.54960937499999996</v>
      </c>
    </row>
    <row r="192" spans="1:9" x14ac:dyDescent="0.3">
      <c r="A192" s="2" t="s">
        <v>16</v>
      </c>
      <c r="B192" s="2" t="s">
        <v>35</v>
      </c>
      <c r="C192" s="2" t="s">
        <v>26</v>
      </c>
      <c r="D192" s="2">
        <v>1505</v>
      </c>
      <c r="E192" s="2">
        <v>3747</v>
      </c>
      <c r="F192" s="2" t="s">
        <v>12</v>
      </c>
      <c r="G192" s="2" t="s">
        <v>41</v>
      </c>
      <c r="H192" s="15">
        <f t="shared" si="4"/>
        <v>2242</v>
      </c>
      <c r="I192" s="14">
        <f t="shared" si="5"/>
        <v>1.4897009966777408</v>
      </c>
    </row>
    <row r="193" spans="1:9" x14ac:dyDescent="0.3">
      <c r="A193" s="2" t="s">
        <v>16</v>
      </c>
      <c r="B193" s="2" t="s">
        <v>31</v>
      </c>
      <c r="C193" s="2" t="s">
        <v>18</v>
      </c>
      <c r="D193" s="2">
        <v>8673</v>
      </c>
      <c r="E193" s="2">
        <v>7189</v>
      </c>
      <c r="F193" s="2" t="s">
        <v>15</v>
      </c>
      <c r="G193" s="2" t="s">
        <v>42</v>
      </c>
      <c r="H193" s="15">
        <f t="shared" si="4"/>
        <v>-1484</v>
      </c>
      <c r="I193" s="14">
        <f t="shared" si="5"/>
        <v>-0.17110573042776434</v>
      </c>
    </row>
    <row r="194" spans="1:9" x14ac:dyDescent="0.3">
      <c r="A194" s="2" t="s">
        <v>27</v>
      </c>
      <c r="B194" s="2" t="s">
        <v>23</v>
      </c>
      <c r="C194" s="2" t="s">
        <v>20</v>
      </c>
      <c r="D194" s="2">
        <v>6222</v>
      </c>
      <c r="E194" s="2">
        <v>4080</v>
      </c>
      <c r="F194" s="2" t="s">
        <v>12</v>
      </c>
      <c r="G194" s="2" t="s">
        <v>42</v>
      </c>
      <c r="H194" s="15">
        <f t="shared" si="4"/>
        <v>-2142</v>
      </c>
      <c r="I194" s="14">
        <f t="shared" si="5"/>
        <v>-0.34426229508196721</v>
      </c>
    </row>
    <row r="195" spans="1:9" x14ac:dyDescent="0.3">
      <c r="A195" s="2" t="s">
        <v>6</v>
      </c>
      <c r="B195" s="2" t="s">
        <v>23</v>
      </c>
      <c r="C195" s="2" t="s">
        <v>11</v>
      </c>
      <c r="D195" s="2">
        <v>4392</v>
      </c>
      <c r="E195" s="2">
        <v>7311</v>
      </c>
      <c r="F195" s="2" t="s">
        <v>36</v>
      </c>
      <c r="G195" s="2" t="s">
        <v>41</v>
      </c>
      <c r="H195" s="15">
        <f t="shared" ref="H195:H258" si="6">(E195-D195)</f>
        <v>2919</v>
      </c>
      <c r="I195" s="14">
        <f t="shared" ref="I195:I258" si="7">H195/D195</f>
        <v>0.6646174863387978</v>
      </c>
    </row>
    <row r="196" spans="1:9" x14ac:dyDescent="0.3">
      <c r="A196" s="2" t="s">
        <v>22</v>
      </c>
      <c r="B196" s="2" t="s">
        <v>7</v>
      </c>
      <c r="C196" s="2" t="s">
        <v>11</v>
      </c>
      <c r="D196" s="2">
        <v>9217</v>
      </c>
      <c r="E196" s="2">
        <v>7989</v>
      </c>
      <c r="F196" s="2" t="s">
        <v>12</v>
      </c>
      <c r="G196" s="2" t="s">
        <v>42</v>
      </c>
      <c r="H196" s="15">
        <f t="shared" si="6"/>
        <v>-1228</v>
      </c>
      <c r="I196" s="14">
        <f t="shared" si="7"/>
        <v>-0.13323207117283281</v>
      </c>
    </row>
    <row r="197" spans="1:9" x14ac:dyDescent="0.3">
      <c r="A197" s="2" t="s">
        <v>33</v>
      </c>
      <c r="B197" s="2" t="s">
        <v>31</v>
      </c>
      <c r="C197" s="2" t="s">
        <v>11</v>
      </c>
      <c r="D197" s="2">
        <v>5890</v>
      </c>
      <c r="E197" s="2">
        <v>9929</v>
      </c>
      <c r="F197" s="2" t="s">
        <v>19</v>
      </c>
      <c r="G197" s="2" t="s">
        <v>41</v>
      </c>
      <c r="H197" s="15">
        <f t="shared" si="6"/>
        <v>4039</v>
      </c>
      <c r="I197" s="14">
        <f t="shared" si="7"/>
        <v>0.68573853989813238</v>
      </c>
    </row>
    <row r="198" spans="1:9" x14ac:dyDescent="0.3">
      <c r="A198" s="2" t="s">
        <v>16</v>
      </c>
      <c r="B198" s="2" t="s">
        <v>7</v>
      </c>
      <c r="C198" s="2" t="s">
        <v>34</v>
      </c>
      <c r="D198" s="2">
        <v>5854</v>
      </c>
      <c r="E198" s="2">
        <v>8953</v>
      </c>
      <c r="F198" s="2" t="s">
        <v>36</v>
      </c>
      <c r="G198" s="2" t="s">
        <v>41</v>
      </c>
      <c r="H198" s="15">
        <f t="shared" si="6"/>
        <v>3099</v>
      </c>
      <c r="I198" s="14">
        <f t="shared" si="7"/>
        <v>0.52938161940553463</v>
      </c>
    </row>
    <row r="199" spans="1:9" x14ac:dyDescent="0.3">
      <c r="A199" s="2" t="s">
        <v>33</v>
      </c>
      <c r="B199" s="2" t="s">
        <v>10</v>
      </c>
      <c r="C199" s="2" t="s">
        <v>17</v>
      </c>
      <c r="D199" s="2">
        <v>8987</v>
      </c>
      <c r="E199" s="2">
        <v>9571</v>
      </c>
      <c r="F199" s="2" t="s">
        <v>36</v>
      </c>
      <c r="G199" s="2" t="s">
        <v>41</v>
      </c>
      <c r="H199" s="15">
        <f t="shared" si="6"/>
        <v>584</v>
      </c>
      <c r="I199" s="14">
        <f t="shared" si="7"/>
        <v>6.4982752865249807E-2</v>
      </c>
    </row>
    <row r="200" spans="1:9" x14ac:dyDescent="0.3">
      <c r="A200" s="2" t="s">
        <v>22</v>
      </c>
      <c r="B200" s="2" t="s">
        <v>25</v>
      </c>
      <c r="C200" s="2" t="s">
        <v>20</v>
      </c>
      <c r="D200" s="2">
        <v>5671</v>
      </c>
      <c r="E200" s="2">
        <v>4006</v>
      </c>
      <c r="F200" s="2" t="s">
        <v>19</v>
      </c>
      <c r="G200" s="2" t="s">
        <v>42</v>
      </c>
      <c r="H200" s="15">
        <f t="shared" si="6"/>
        <v>-1665</v>
      </c>
      <c r="I200" s="14">
        <f t="shared" si="7"/>
        <v>-0.29359901251983778</v>
      </c>
    </row>
    <row r="201" spans="1:9" x14ac:dyDescent="0.3">
      <c r="A201" s="2" t="s">
        <v>33</v>
      </c>
      <c r="B201" s="2" t="s">
        <v>7</v>
      </c>
      <c r="C201" s="2" t="s">
        <v>14</v>
      </c>
      <c r="D201" s="2">
        <v>7645</v>
      </c>
      <c r="E201" s="2">
        <v>8793</v>
      </c>
      <c r="F201" s="2" t="s">
        <v>19</v>
      </c>
      <c r="G201" s="2" t="s">
        <v>41</v>
      </c>
      <c r="H201" s="15">
        <f t="shared" si="6"/>
        <v>1148</v>
      </c>
      <c r="I201" s="14">
        <f t="shared" si="7"/>
        <v>0.150163505559189</v>
      </c>
    </row>
    <row r="202" spans="1:9" x14ac:dyDescent="0.3">
      <c r="A202" s="2" t="s">
        <v>9</v>
      </c>
      <c r="B202" s="2" t="s">
        <v>25</v>
      </c>
      <c r="C202" s="2" t="s">
        <v>14</v>
      </c>
      <c r="D202" s="2">
        <v>4069</v>
      </c>
      <c r="E202" s="2">
        <v>6768</v>
      </c>
      <c r="F202" s="2" t="s">
        <v>15</v>
      </c>
      <c r="G202" s="2" t="s">
        <v>41</v>
      </c>
      <c r="H202" s="15">
        <f t="shared" si="6"/>
        <v>2699</v>
      </c>
      <c r="I202" s="14">
        <f t="shared" si="7"/>
        <v>0.66330793806832145</v>
      </c>
    </row>
    <row r="203" spans="1:9" x14ac:dyDescent="0.3">
      <c r="A203" s="2" t="s">
        <v>33</v>
      </c>
      <c r="B203" s="2" t="s">
        <v>23</v>
      </c>
      <c r="C203" s="2" t="s">
        <v>17</v>
      </c>
      <c r="D203" s="2">
        <v>9969</v>
      </c>
      <c r="E203" s="2">
        <v>4144</v>
      </c>
      <c r="F203" s="2" t="s">
        <v>15</v>
      </c>
      <c r="G203" s="2" t="s">
        <v>42</v>
      </c>
      <c r="H203" s="15">
        <f t="shared" si="6"/>
        <v>-5825</v>
      </c>
      <c r="I203" s="14">
        <f t="shared" si="7"/>
        <v>-0.58431136523221994</v>
      </c>
    </row>
    <row r="204" spans="1:9" x14ac:dyDescent="0.3">
      <c r="A204" s="2" t="s">
        <v>22</v>
      </c>
      <c r="B204" s="2" t="s">
        <v>25</v>
      </c>
      <c r="C204" s="2" t="s">
        <v>29</v>
      </c>
      <c r="D204" s="2">
        <v>8571</v>
      </c>
      <c r="E204" s="2">
        <v>4484</v>
      </c>
      <c r="F204" s="2" t="s">
        <v>30</v>
      </c>
      <c r="G204" s="2" t="s">
        <v>42</v>
      </c>
      <c r="H204" s="15">
        <f t="shared" si="6"/>
        <v>-4087</v>
      </c>
      <c r="I204" s="14">
        <f t="shared" si="7"/>
        <v>-0.47684050869210126</v>
      </c>
    </row>
    <row r="205" spans="1:9" x14ac:dyDescent="0.3">
      <c r="A205" s="2" t="s">
        <v>6</v>
      </c>
      <c r="B205" s="2" t="s">
        <v>25</v>
      </c>
      <c r="C205" s="2" t="s">
        <v>14</v>
      </c>
      <c r="D205" s="2">
        <v>2317</v>
      </c>
      <c r="E205" s="2">
        <v>3315</v>
      </c>
      <c r="F205" s="2" t="s">
        <v>12</v>
      </c>
      <c r="G205" s="2" t="s">
        <v>41</v>
      </c>
      <c r="H205" s="15">
        <f t="shared" si="6"/>
        <v>998</v>
      </c>
      <c r="I205" s="14">
        <f t="shared" si="7"/>
        <v>0.43072939145446698</v>
      </c>
    </row>
    <row r="206" spans="1:9" x14ac:dyDescent="0.3">
      <c r="A206" s="2" t="s">
        <v>16</v>
      </c>
      <c r="B206" s="2" t="s">
        <v>23</v>
      </c>
      <c r="C206" s="2" t="s">
        <v>34</v>
      </c>
      <c r="D206" s="2">
        <v>6392</v>
      </c>
      <c r="E206" s="2">
        <v>4497</v>
      </c>
      <c r="F206" s="2" t="s">
        <v>30</v>
      </c>
      <c r="G206" s="2" t="s">
        <v>42</v>
      </c>
      <c r="H206" s="15">
        <f t="shared" si="6"/>
        <v>-1895</v>
      </c>
      <c r="I206" s="14">
        <f t="shared" si="7"/>
        <v>-0.29646433041301629</v>
      </c>
    </row>
    <row r="207" spans="1:9" x14ac:dyDescent="0.3">
      <c r="A207" s="2" t="s">
        <v>13</v>
      </c>
      <c r="B207" s="2" t="s">
        <v>7</v>
      </c>
      <c r="C207" s="2" t="s">
        <v>14</v>
      </c>
      <c r="D207" s="2">
        <v>4259</v>
      </c>
      <c r="E207" s="2">
        <v>7720</v>
      </c>
      <c r="F207" s="2" t="s">
        <v>12</v>
      </c>
      <c r="G207" s="2" t="s">
        <v>41</v>
      </c>
      <c r="H207" s="15">
        <f t="shared" si="6"/>
        <v>3461</v>
      </c>
      <c r="I207" s="14">
        <f t="shared" si="7"/>
        <v>0.812632073256633</v>
      </c>
    </row>
    <row r="208" spans="1:9" x14ac:dyDescent="0.3">
      <c r="A208" s="2" t="s">
        <v>33</v>
      </c>
      <c r="B208" s="2" t="s">
        <v>25</v>
      </c>
      <c r="C208" s="2" t="s">
        <v>17</v>
      </c>
      <c r="D208" s="2">
        <v>8774</v>
      </c>
      <c r="E208" s="2">
        <v>2623</v>
      </c>
      <c r="F208" s="2" t="s">
        <v>36</v>
      </c>
      <c r="G208" s="2" t="s">
        <v>42</v>
      </c>
      <c r="H208" s="15">
        <f t="shared" si="6"/>
        <v>-6151</v>
      </c>
      <c r="I208" s="14">
        <f t="shared" si="7"/>
        <v>-0.70104855254160015</v>
      </c>
    </row>
    <row r="209" spans="1:9" x14ac:dyDescent="0.3">
      <c r="A209" s="2" t="s">
        <v>9</v>
      </c>
      <c r="B209" s="2" t="s">
        <v>10</v>
      </c>
      <c r="C209" s="2" t="s">
        <v>11</v>
      </c>
      <c r="D209" s="2">
        <v>1581</v>
      </c>
      <c r="E209" s="2">
        <v>9313</v>
      </c>
      <c r="F209" s="2" t="s">
        <v>36</v>
      </c>
      <c r="G209" s="2" t="s">
        <v>41</v>
      </c>
      <c r="H209" s="15">
        <f t="shared" si="6"/>
        <v>7732</v>
      </c>
      <c r="I209" s="14">
        <f t="shared" si="7"/>
        <v>4.8905755850727388</v>
      </c>
    </row>
    <row r="210" spans="1:9" x14ac:dyDescent="0.3">
      <c r="A210" s="2" t="s">
        <v>27</v>
      </c>
      <c r="B210" s="2" t="s">
        <v>7</v>
      </c>
      <c r="C210" s="2" t="s">
        <v>20</v>
      </c>
      <c r="D210" s="2">
        <v>1411</v>
      </c>
      <c r="E210" s="2">
        <v>10859</v>
      </c>
      <c r="F210" s="2" t="s">
        <v>15</v>
      </c>
      <c r="G210" s="2" t="s">
        <v>41</v>
      </c>
      <c r="H210" s="15">
        <f t="shared" si="6"/>
        <v>9448</v>
      </c>
      <c r="I210" s="14">
        <f t="shared" si="7"/>
        <v>6.6959603118355773</v>
      </c>
    </row>
    <row r="211" spans="1:9" x14ac:dyDescent="0.3">
      <c r="A211" s="2" t="s">
        <v>22</v>
      </c>
      <c r="B211" s="2" t="s">
        <v>31</v>
      </c>
      <c r="C211" s="2" t="s">
        <v>17</v>
      </c>
      <c r="D211" s="2">
        <v>2510</v>
      </c>
      <c r="E211" s="2">
        <v>829</v>
      </c>
      <c r="F211" s="2" t="s">
        <v>15</v>
      </c>
      <c r="G211" s="2" t="s">
        <v>42</v>
      </c>
      <c r="H211" s="15">
        <f t="shared" si="6"/>
        <v>-1681</v>
      </c>
      <c r="I211" s="14">
        <f t="shared" si="7"/>
        <v>-0.66972111553784863</v>
      </c>
    </row>
    <row r="212" spans="1:9" x14ac:dyDescent="0.3">
      <c r="A212" s="2" t="s">
        <v>27</v>
      </c>
      <c r="B212" s="2" t="s">
        <v>35</v>
      </c>
      <c r="C212" s="2" t="s">
        <v>21</v>
      </c>
      <c r="D212" s="2">
        <v>3999</v>
      </c>
      <c r="E212" s="2">
        <v>5731</v>
      </c>
      <c r="F212" s="2" t="s">
        <v>12</v>
      </c>
      <c r="G212" s="2" t="s">
        <v>41</v>
      </c>
      <c r="H212" s="15">
        <f t="shared" si="6"/>
        <v>1732</v>
      </c>
      <c r="I212" s="14">
        <f t="shared" si="7"/>
        <v>0.4331082770692673</v>
      </c>
    </row>
    <row r="213" spans="1:9" x14ac:dyDescent="0.3">
      <c r="A213" s="2" t="s">
        <v>22</v>
      </c>
      <c r="B213" s="2" t="s">
        <v>35</v>
      </c>
      <c r="C213" s="2" t="s">
        <v>32</v>
      </c>
      <c r="D213" s="2">
        <v>3437</v>
      </c>
      <c r="E213" s="2">
        <v>7101</v>
      </c>
      <c r="F213" s="2" t="s">
        <v>19</v>
      </c>
      <c r="G213" s="2" t="s">
        <v>41</v>
      </c>
      <c r="H213" s="15">
        <f t="shared" si="6"/>
        <v>3664</v>
      </c>
      <c r="I213" s="14">
        <f t="shared" si="7"/>
        <v>1.0660459703229561</v>
      </c>
    </row>
    <row r="214" spans="1:9" x14ac:dyDescent="0.3">
      <c r="A214" s="2" t="s">
        <v>13</v>
      </c>
      <c r="B214" s="2" t="s">
        <v>28</v>
      </c>
      <c r="C214" s="2" t="s">
        <v>32</v>
      </c>
      <c r="D214" s="2">
        <v>2037</v>
      </c>
      <c r="E214" s="2">
        <v>5070</v>
      </c>
      <c r="F214" s="2" t="s">
        <v>30</v>
      </c>
      <c r="G214" s="2" t="s">
        <v>41</v>
      </c>
      <c r="H214" s="15">
        <f t="shared" si="6"/>
        <v>3033</v>
      </c>
      <c r="I214" s="14">
        <f t="shared" si="7"/>
        <v>1.4889543446244478</v>
      </c>
    </row>
    <row r="215" spans="1:9" x14ac:dyDescent="0.3">
      <c r="A215" s="2" t="s">
        <v>27</v>
      </c>
      <c r="B215" s="2" t="s">
        <v>7</v>
      </c>
      <c r="C215" s="2" t="s">
        <v>24</v>
      </c>
      <c r="D215" s="2">
        <v>4731</v>
      </c>
      <c r="E215" s="2">
        <v>9374</v>
      </c>
      <c r="F215" s="2" t="s">
        <v>15</v>
      </c>
      <c r="G215" s="2" t="s">
        <v>41</v>
      </c>
      <c r="H215" s="15">
        <f t="shared" si="6"/>
        <v>4643</v>
      </c>
      <c r="I215" s="14">
        <f t="shared" si="7"/>
        <v>0.98139928133586984</v>
      </c>
    </row>
    <row r="216" spans="1:9" x14ac:dyDescent="0.3">
      <c r="A216" s="2" t="s">
        <v>9</v>
      </c>
      <c r="B216" s="2" t="s">
        <v>31</v>
      </c>
      <c r="C216" s="2" t="s">
        <v>11</v>
      </c>
      <c r="D216" s="2">
        <v>4308</v>
      </c>
      <c r="E216" s="2">
        <v>10473</v>
      </c>
      <c r="F216" s="2" t="s">
        <v>30</v>
      </c>
      <c r="G216" s="2" t="s">
        <v>41</v>
      </c>
      <c r="H216" s="15">
        <f t="shared" si="6"/>
        <v>6165</v>
      </c>
      <c r="I216" s="14">
        <f t="shared" si="7"/>
        <v>1.431058495821727</v>
      </c>
    </row>
    <row r="217" spans="1:9" x14ac:dyDescent="0.3">
      <c r="A217" s="2" t="s">
        <v>9</v>
      </c>
      <c r="B217" s="2" t="s">
        <v>7</v>
      </c>
      <c r="C217" s="2" t="s">
        <v>29</v>
      </c>
      <c r="D217" s="2">
        <v>4627</v>
      </c>
      <c r="E217" s="2">
        <v>4041</v>
      </c>
      <c r="F217" s="2" t="s">
        <v>30</v>
      </c>
      <c r="G217" s="2" t="s">
        <v>42</v>
      </c>
      <c r="H217" s="15">
        <f t="shared" si="6"/>
        <v>-586</v>
      </c>
      <c r="I217" s="14">
        <f t="shared" si="7"/>
        <v>-0.12664793602766372</v>
      </c>
    </row>
    <row r="218" spans="1:9" x14ac:dyDescent="0.3">
      <c r="A218" s="2" t="s">
        <v>33</v>
      </c>
      <c r="B218" s="2" t="s">
        <v>35</v>
      </c>
      <c r="C218" s="2" t="s">
        <v>34</v>
      </c>
      <c r="D218" s="2">
        <v>6862</v>
      </c>
      <c r="E218" s="2">
        <v>3032</v>
      </c>
      <c r="F218" s="2" t="s">
        <v>15</v>
      </c>
      <c r="G218" s="2" t="s">
        <v>42</v>
      </c>
      <c r="H218" s="15">
        <f t="shared" si="6"/>
        <v>-3830</v>
      </c>
      <c r="I218" s="14">
        <f t="shared" si="7"/>
        <v>-0.55814631302827167</v>
      </c>
    </row>
    <row r="219" spans="1:9" x14ac:dyDescent="0.3">
      <c r="A219" s="2" t="s">
        <v>33</v>
      </c>
      <c r="B219" s="2" t="s">
        <v>31</v>
      </c>
      <c r="C219" s="2" t="s">
        <v>21</v>
      </c>
      <c r="D219" s="2">
        <v>7844</v>
      </c>
      <c r="E219" s="2">
        <v>4955</v>
      </c>
      <c r="F219" s="2" t="s">
        <v>30</v>
      </c>
      <c r="G219" s="2" t="s">
        <v>42</v>
      </c>
      <c r="H219" s="15">
        <f t="shared" si="6"/>
        <v>-2889</v>
      </c>
      <c r="I219" s="14">
        <f t="shared" si="7"/>
        <v>-0.36830698623151453</v>
      </c>
    </row>
    <row r="220" spans="1:9" x14ac:dyDescent="0.3">
      <c r="A220" s="2" t="s">
        <v>16</v>
      </c>
      <c r="B220" s="2" t="s">
        <v>31</v>
      </c>
      <c r="C220" s="2" t="s">
        <v>17</v>
      </c>
      <c r="D220" s="2">
        <v>2516</v>
      </c>
      <c r="E220" s="2">
        <v>9990</v>
      </c>
      <c r="F220" s="2" t="s">
        <v>19</v>
      </c>
      <c r="G220" s="2" t="s">
        <v>41</v>
      </c>
      <c r="H220" s="15">
        <f t="shared" si="6"/>
        <v>7474</v>
      </c>
      <c r="I220" s="14">
        <f t="shared" si="7"/>
        <v>2.9705882352941178</v>
      </c>
    </row>
    <row r="221" spans="1:9" x14ac:dyDescent="0.3">
      <c r="A221" s="2" t="s">
        <v>9</v>
      </c>
      <c r="B221" s="2" t="s">
        <v>25</v>
      </c>
      <c r="C221" s="2" t="s">
        <v>17</v>
      </c>
      <c r="D221" s="2">
        <v>1092</v>
      </c>
      <c r="E221" s="2">
        <v>6186</v>
      </c>
      <c r="F221" s="2" t="s">
        <v>36</v>
      </c>
      <c r="G221" s="2" t="s">
        <v>41</v>
      </c>
      <c r="H221" s="15">
        <f t="shared" si="6"/>
        <v>5094</v>
      </c>
      <c r="I221" s="14">
        <f t="shared" si="7"/>
        <v>4.6648351648351651</v>
      </c>
    </row>
    <row r="222" spans="1:9" x14ac:dyDescent="0.3">
      <c r="A222" s="2" t="s">
        <v>13</v>
      </c>
      <c r="B222" s="2" t="s">
        <v>35</v>
      </c>
      <c r="C222" s="2" t="s">
        <v>34</v>
      </c>
      <c r="D222" s="2">
        <v>8416</v>
      </c>
      <c r="E222" s="2">
        <v>2902</v>
      </c>
      <c r="F222" s="2" t="s">
        <v>36</v>
      </c>
      <c r="G222" s="2" t="s">
        <v>42</v>
      </c>
      <c r="H222" s="15">
        <f t="shared" si="6"/>
        <v>-5514</v>
      </c>
      <c r="I222" s="14">
        <f t="shared" si="7"/>
        <v>-0.65518060836501901</v>
      </c>
    </row>
    <row r="223" spans="1:9" x14ac:dyDescent="0.3">
      <c r="A223" s="2" t="s">
        <v>22</v>
      </c>
      <c r="B223" s="2" t="s">
        <v>7</v>
      </c>
      <c r="C223" s="2" t="s">
        <v>24</v>
      </c>
      <c r="D223" s="2">
        <v>2566</v>
      </c>
      <c r="E223" s="2">
        <v>10511</v>
      </c>
      <c r="F223" s="2" t="s">
        <v>36</v>
      </c>
      <c r="G223" s="2" t="s">
        <v>41</v>
      </c>
      <c r="H223" s="15">
        <f t="shared" si="6"/>
        <v>7945</v>
      </c>
      <c r="I223" s="14">
        <f t="shared" si="7"/>
        <v>3.0962587685113014</v>
      </c>
    </row>
    <row r="224" spans="1:9" x14ac:dyDescent="0.3">
      <c r="A224" s="2" t="s">
        <v>22</v>
      </c>
      <c r="B224" s="2" t="s">
        <v>31</v>
      </c>
      <c r="C224" s="2" t="s">
        <v>26</v>
      </c>
      <c r="D224" s="2">
        <v>2370</v>
      </c>
      <c r="E224" s="2">
        <v>4561</v>
      </c>
      <c r="F224" s="2" t="s">
        <v>36</v>
      </c>
      <c r="G224" s="2" t="s">
        <v>41</v>
      </c>
      <c r="H224" s="15">
        <f t="shared" si="6"/>
        <v>2191</v>
      </c>
      <c r="I224" s="14">
        <f t="shared" si="7"/>
        <v>0.92447257383966241</v>
      </c>
    </row>
    <row r="225" spans="1:9" x14ac:dyDescent="0.3">
      <c r="A225" s="2" t="s">
        <v>9</v>
      </c>
      <c r="B225" s="2" t="s">
        <v>10</v>
      </c>
      <c r="C225" s="2" t="s">
        <v>14</v>
      </c>
      <c r="D225" s="2">
        <v>3482</v>
      </c>
      <c r="E225" s="2">
        <v>11562</v>
      </c>
      <c r="F225" s="2" t="s">
        <v>19</v>
      </c>
      <c r="G225" s="2" t="s">
        <v>41</v>
      </c>
      <c r="H225" s="15">
        <f t="shared" si="6"/>
        <v>8080</v>
      </c>
      <c r="I225" s="14">
        <f t="shared" si="7"/>
        <v>2.3205054566341183</v>
      </c>
    </row>
    <row r="226" spans="1:9" x14ac:dyDescent="0.3">
      <c r="A226" s="2" t="s">
        <v>9</v>
      </c>
      <c r="B226" s="2" t="s">
        <v>31</v>
      </c>
      <c r="C226" s="2" t="s">
        <v>17</v>
      </c>
      <c r="D226" s="2">
        <v>3696</v>
      </c>
      <c r="E226" s="2">
        <v>6289</v>
      </c>
      <c r="F226" s="2" t="s">
        <v>15</v>
      </c>
      <c r="G226" s="2" t="s">
        <v>41</v>
      </c>
      <c r="H226" s="15">
        <f t="shared" si="6"/>
        <v>2593</v>
      </c>
      <c r="I226" s="14">
        <f t="shared" si="7"/>
        <v>0.70156926406926412</v>
      </c>
    </row>
    <row r="227" spans="1:9" x14ac:dyDescent="0.3">
      <c r="A227" s="2" t="s">
        <v>13</v>
      </c>
      <c r="B227" s="2" t="s">
        <v>28</v>
      </c>
      <c r="C227" s="2" t="s">
        <v>29</v>
      </c>
      <c r="D227" s="2">
        <v>3146</v>
      </c>
      <c r="E227" s="2">
        <v>8730</v>
      </c>
      <c r="F227" s="2" t="s">
        <v>30</v>
      </c>
      <c r="G227" s="2" t="s">
        <v>41</v>
      </c>
      <c r="H227" s="15">
        <f t="shared" si="6"/>
        <v>5584</v>
      </c>
      <c r="I227" s="14">
        <f t="shared" si="7"/>
        <v>1.7749523204068658</v>
      </c>
    </row>
    <row r="228" spans="1:9" x14ac:dyDescent="0.3">
      <c r="A228" s="2" t="s">
        <v>9</v>
      </c>
      <c r="B228" s="2" t="s">
        <v>31</v>
      </c>
      <c r="C228" s="2" t="s">
        <v>20</v>
      </c>
      <c r="D228" s="2">
        <v>5311</v>
      </c>
      <c r="E228" s="2">
        <v>5567</v>
      </c>
      <c r="F228" s="2" t="s">
        <v>19</v>
      </c>
      <c r="G228" s="2" t="s">
        <v>41</v>
      </c>
      <c r="H228" s="15">
        <f t="shared" si="6"/>
        <v>256</v>
      </c>
      <c r="I228" s="14">
        <f t="shared" si="7"/>
        <v>4.8201845226887592E-2</v>
      </c>
    </row>
    <row r="229" spans="1:9" x14ac:dyDescent="0.3">
      <c r="A229" s="2" t="s">
        <v>33</v>
      </c>
      <c r="B229" s="2" t="s">
        <v>35</v>
      </c>
      <c r="C229" s="2" t="s">
        <v>32</v>
      </c>
      <c r="D229" s="2">
        <v>6783</v>
      </c>
      <c r="E229" s="2">
        <v>2722</v>
      </c>
      <c r="F229" s="2" t="s">
        <v>19</v>
      </c>
      <c r="G229" s="2" t="s">
        <v>42</v>
      </c>
      <c r="H229" s="15">
        <f t="shared" si="6"/>
        <v>-4061</v>
      </c>
      <c r="I229" s="14">
        <f t="shared" si="7"/>
        <v>-0.59870263895031695</v>
      </c>
    </row>
    <row r="230" spans="1:9" x14ac:dyDescent="0.3">
      <c r="A230" s="2" t="s">
        <v>16</v>
      </c>
      <c r="B230" s="2" t="s">
        <v>10</v>
      </c>
      <c r="C230" s="2" t="s">
        <v>20</v>
      </c>
      <c r="D230" s="2">
        <v>3051</v>
      </c>
      <c r="E230" s="2">
        <v>4973</v>
      </c>
      <c r="F230" s="2" t="s">
        <v>15</v>
      </c>
      <c r="G230" s="2" t="s">
        <v>41</v>
      </c>
      <c r="H230" s="15">
        <f t="shared" si="6"/>
        <v>1922</v>
      </c>
      <c r="I230" s="14">
        <f t="shared" si="7"/>
        <v>0.6299573910193379</v>
      </c>
    </row>
    <row r="231" spans="1:9" x14ac:dyDescent="0.3">
      <c r="A231" s="2" t="s">
        <v>27</v>
      </c>
      <c r="B231" s="2" t="s">
        <v>35</v>
      </c>
      <c r="C231" s="2" t="s">
        <v>17</v>
      </c>
      <c r="D231" s="2">
        <v>7063</v>
      </c>
      <c r="E231" s="2">
        <v>11541</v>
      </c>
      <c r="F231" s="2" t="s">
        <v>15</v>
      </c>
      <c r="G231" s="2" t="s">
        <v>41</v>
      </c>
      <c r="H231" s="15">
        <f t="shared" si="6"/>
        <v>4478</v>
      </c>
      <c r="I231" s="14">
        <f t="shared" si="7"/>
        <v>0.63400821180801359</v>
      </c>
    </row>
    <row r="232" spans="1:9" x14ac:dyDescent="0.3">
      <c r="A232" s="2" t="s">
        <v>22</v>
      </c>
      <c r="B232" s="2" t="s">
        <v>28</v>
      </c>
      <c r="C232" s="2" t="s">
        <v>24</v>
      </c>
      <c r="D232" s="2">
        <v>1725</v>
      </c>
      <c r="E232" s="2">
        <v>6868</v>
      </c>
      <c r="F232" s="2" t="s">
        <v>36</v>
      </c>
      <c r="G232" s="2" t="s">
        <v>41</v>
      </c>
      <c r="H232" s="15">
        <f t="shared" si="6"/>
        <v>5143</v>
      </c>
      <c r="I232" s="14">
        <f t="shared" si="7"/>
        <v>2.9814492753623187</v>
      </c>
    </row>
    <row r="233" spans="1:9" x14ac:dyDescent="0.3">
      <c r="A233" s="2" t="s">
        <v>33</v>
      </c>
      <c r="B233" s="2" t="s">
        <v>10</v>
      </c>
      <c r="C233" s="2" t="s">
        <v>26</v>
      </c>
      <c r="D233" s="2">
        <v>5794</v>
      </c>
      <c r="E233" s="2">
        <v>11277</v>
      </c>
      <c r="F233" s="2" t="s">
        <v>19</v>
      </c>
      <c r="G233" s="2" t="s">
        <v>41</v>
      </c>
      <c r="H233" s="15">
        <f t="shared" si="6"/>
        <v>5483</v>
      </c>
      <c r="I233" s="14">
        <f t="shared" si="7"/>
        <v>0.94632378322402488</v>
      </c>
    </row>
    <row r="234" spans="1:9" x14ac:dyDescent="0.3">
      <c r="A234" s="2" t="s">
        <v>27</v>
      </c>
      <c r="B234" s="2" t="s">
        <v>23</v>
      </c>
      <c r="C234" s="2" t="s">
        <v>26</v>
      </c>
      <c r="D234" s="2">
        <v>9028</v>
      </c>
      <c r="E234" s="2">
        <v>7225</v>
      </c>
      <c r="F234" s="2" t="s">
        <v>15</v>
      </c>
      <c r="G234" s="2" t="s">
        <v>42</v>
      </c>
      <c r="H234" s="15">
        <f t="shared" si="6"/>
        <v>-1803</v>
      </c>
      <c r="I234" s="14">
        <f t="shared" si="7"/>
        <v>-0.19971200708905626</v>
      </c>
    </row>
    <row r="235" spans="1:9" x14ac:dyDescent="0.3">
      <c r="A235" s="2" t="s">
        <v>27</v>
      </c>
      <c r="B235" s="2" t="s">
        <v>25</v>
      </c>
      <c r="C235" s="2" t="s">
        <v>29</v>
      </c>
      <c r="D235" s="2">
        <v>3737</v>
      </c>
      <c r="E235" s="2">
        <v>11355</v>
      </c>
      <c r="F235" s="2" t="s">
        <v>36</v>
      </c>
      <c r="G235" s="2" t="s">
        <v>41</v>
      </c>
      <c r="H235" s="15">
        <f t="shared" si="6"/>
        <v>7618</v>
      </c>
      <c r="I235" s="14">
        <f t="shared" si="7"/>
        <v>2.0385335830880384</v>
      </c>
    </row>
    <row r="236" spans="1:9" x14ac:dyDescent="0.3">
      <c r="A236" s="2" t="s">
        <v>13</v>
      </c>
      <c r="B236" s="2" t="s">
        <v>25</v>
      </c>
      <c r="C236" s="2" t="s">
        <v>14</v>
      </c>
      <c r="D236" s="2">
        <v>8956</v>
      </c>
      <c r="E236" s="2">
        <v>4518</v>
      </c>
      <c r="F236" s="2" t="s">
        <v>12</v>
      </c>
      <c r="G236" s="2" t="s">
        <v>42</v>
      </c>
      <c r="H236" s="15">
        <f t="shared" si="6"/>
        <v>-4438</v>
      </c>
      <c r="I236" s="14">
        <f t="shared" si="7"/>
        <v>-0.49553372041089772</v>
      </c>
    </row>
    <row r="237" spans="1:9" x14ac:dyDescent="0.3">
      <c r="A237" s="2" t="s">
        <v>6</v>
      </c>
      <c r="B237" s="2" t="s">
        <v>10</v>
      </c>
      <c r="C237" s="2" t="s">
        <v>11</v>
      </c>
      <c r="D237" s="2">
        <v>9697</v>
      </c>
      <c r="E237" s="2">
        <v>1217</v>
      </c>
      <c r="F237" s="2" t="s">
        <v>36</v>
      </c>
      <c r="G237" s="2" t="s">
        <v>42</v>
      </c>
      <c r="H237" s="15">
        <f t="shared" si="6"/>
        <v>-8480</v>
      </c>
      <c r="I237" s="14">
        <f t="shared" si="7"/>
        <v>-0.87449726719604004</v>
      </c>
    </row>
    <row r="238" spans="1:9" x14ac:dyDescent="0.3">
      <c r="A238" s="2" t="s">
        <v>27</v>
      </c>
      <c r="B238" s="2" t="s">
        <v>28</v>
      </c>
      <c r="C238" s="2" t="s">
        <v>24</v>
      </c>
      <c r="D238" s="2">
        <v>5137</v>
      </c>
      <c r="E238" s="2">
        <v>2621</v>
      </c>
      <c r="F238" s="2" t="s">
        <v>30</v>
      </c>
      <c r="G238" s="2" t="s">
        <v>42</v>
      </c>
      <c r="H238" s="15">
        <f t="shared" si="6"/>
        <v>-2516</v>
      </c>
      <c r="I238" s="14">
        <f t="shared" si="7"/>
        <v>-0.48978002725326064</v>
      </c>
    </row>
    <row r="239" spans="1:9" x14ac:dyDescent="0.3">
      <c r="A239" s="2" t="s">
        <v>16</v>
      </c>
      <c r="B239" s="2" t="s">
        <v>28</v>
      </c>
      <c r="C239" s="2" t="s">
        <v>18</v>
      </c>
      <c r="D239" s="2">
        <v>5909</v>
      </c>
      <c r="E239" s="2">
        <v>1649</v>
      </c>
      <c r="F239" s="2" t="s">
        <v>36</v>
      </c>
      <c r="G239" s="2" t="s">
        <v>42</v>
      </c>
      <c r="H239" s="15">
        <f t="shared" si="6"/>
        <v>-4260</v>
      </c>
      <c r="I239" s="14">
        <f t="shared" si="7"/>
        <v>-0.72093416821797263</v>
      </c>
    </row>
    <row r="240" spans="1:9" x14ac:dyDescent="0.3">
      <c r="A240" s="2" t="s">
        <v>6</v>
      </c>
      <c r="B240" s="2" t="s">
        <v>23</v>
      </c>
      <c r="C240" s="2" t="s">
        <v>21</v>
      </c>
      <c r="D240" s="2">
        <v>4461</v>
      </c>
      <c r="E240" s="2">
        <v>4936</v>
      </c>
      <c r="F240" s="2" t="s">
        <v>30</v>
      </c>
      <c r="G240" s="2" t="s">
        <v>41</v>
      </c>
      <c r="H240" s="15">
        <f t="shared" si="6"/>
        <v>475</v>
      </c>
      <c r="I240" s="14">
        <f t="shared" si="7"/>
        <v>0.10647836807890608</v>
      </c>
    </row>
    <row r="241" spans="1:9" x14ac:dyDescent="0.3">
      <c r="A241" s="2" t="s">
        <v>22</v>
      </c>
      <c r="B241" s="2" t="s">
        <v>25</v>
      </c>
      <c r="C241" s="2" t="s">
        <v>21</v>
      </c>
      <c r="D241" s="2">
        <v>5403</v>
      </c>
      <c r="E241" s="2">
        <v>5025</v>
      </c>
      <c r="F241" s="2" t="s">
        <v>30</v>
      </c>
      <c r="G241" s="2" t="s">
        <v>42</v>
      </c>
      <c r="H241" s="15">
        <f t="shared" si="6"/>
        <v>-378</v>
      </c>
      <c r="I241" s="14">
        <f t="shared" si="7"/>
        <v>-6.9961132704053297E-2</v>
      </c>
    </row>
    <row r="242" spans="1:9" x14ac:dyDescent="0.3">
      <c r="A242" s="2" t="s">
        <v>9</v>
      </c>
      <c r="B242" s="2" t="s">
        <v>28</v>
      </c>
      <c r="C242" s="2" t="s">
        <v>17</v>
      </c>
      <c r="D242" s="2">
        <v>4296</v>
      </c>
      <c r="E242" s="2">
        <v>8838</v>
      </c>
      <c r="F242" s="2" t="s">
        <v>19</v>
      </c>
      <c r="G242" s="2" t="s">
        <v>41</v>
      </c>
      <c r="H242" s="15">
        <f t="shared" si="6"/>
        <v>4542</v>
      </c>
      <c r="I242" s="14">
        <f t="shared" si="7"/>
        <v>1.0572625698324023</v>
      </c>
    </row>
    <row r="243" spans="1:9" x14ac:dyDescent="0.3">
      <c r="A243" s="2" t="s">
        <v>6</v>
      </c>
      <c r="B243" s="2" t="s">
        <v>10</v>
      </c>
      <c r="C243" s="2" t="s">
        <v>32</v>
      </c>
      <c r="D243" s="2">
        <v>4887</v>
      </c>
      <c r="E243" s="2">
        <v>11039</v>
      </c>
      <c r="F243" s="2" t="s">
        <v>30</v>
      </c>
      <c r="G243" s="2" t="s">
        <v>41</v>
      </c>
      <c r="H243" s="15">
        <f t="shared" si="6"/>
        <v>6152</v>
      </c>
      <c r="I243" s="14">
        <f t="shared" si="7"/>
        <v>1.2588500102312257</v>
      </c>
    </row>
    <row r="244" spans="1:9" x14ac:dyDescent="0.3">
      <c r="A244" s="2" t="s">
        <v>9</v>
      </c>
      <c r="B244" s="2" t="s">
        <v>23</v>
      </c>
      <c r="C244" s="2" t="s">
        <v>8</v>
      </c>
      <c r="D244" s="2">
        <v>7503</v>
      </c>
      <c r="E244" s="2">
        <v>7005</v>
      </c>
      <c r="F244" s="2" t="s">
        <v>12</v>
      </c>
      <c r="G244" s="2" t="s">
        <v>42</v>
      </c>
      <c r="H244" s="15">
        <f t="shared" si="6"/>
        <v>-498</v>
      </c>
      <c r="I244" s="14">
        <f t="shared" si="7"/>
        <v>-6.6373450619752097E-2</v>
      </c>
    </row>
    <row r="245" spans="1:9" x14ac:dyDescent="0.3">
      <c r="A245" s="2" t="s">
        <v>6</v>
      </c>
      <c r="B245" s="2" t="s">
        <v>28</v>
      </c>
      <c r="C245" s="2" t="s">
        <v>26</v>
      </c>
      <c r="D245" s="2">
        <v>4565</v>
      </c>
      <c r="E245" s="2">
        <v>11868</v>
      </c>
      <c r="F245" s="2" t="s">
        <v>15</v>
      </c>
      <c r="G245" s="2" t="s">
        <v>41</v>
      </c>
      <c r="H245" s="15">
        <f t="shared" si="6"/>
        <v>7303</v>
      </c>
      <c r="I245" s="14">
        <f t="shared" si="7"/>
        <v>1.5997809419496167</v>
      </c>
    </row>
    <row r="246" spans="1:9" x14ac:dyDescent="0.3">
      <c r="A246" s="2" t="s">
        <v>13</v>
      </c>
      <c r="B246" s="2" t="s">
        <v>31</v>
      </c>
      <c r="C246" s="2" t="s">
        <v>24</v>
      </c>
      <c r="D246" s="2">
        <v>7684</v>
      </c>
      <c r="E246" s="2">
        <v>8033</v>
      </c>
      <c r="F246" s="2" t="s">
        <v>15</v>
      </c>
      <c r="G246" s="2" t="s">
        <v>41</v>
      </c>
      <c r="H246" s="15">
        <f t="shared" si="6"/>
        <v>349</v>
      </c>
      <c r="I246" s="14">
        <f t="shared" si="7"/>
        <v>4.5419052576782928E-2</v>
      </c>
    </row>
    <row r="247" spans="1:9" x14ac:dyDescent="0.3">
      <c r="A247" s="2" t="s">
        <v>16</v>
      </c>
      <c r="B247" s="2" t="s">
        <v>28</v>
      </c>
      <c r="C247" s="2" t="s">
        <v>11</v>
      </c>
      <c r="D247" s="2">
        <v>7222</v>
      </c>
      <c r="E247" s="2">
        <v>3132</v>
      </c>
      <c r="F247" s="2" t="s">
        <v>12</v>
      </c>
      <c r="G247" s="2" t="s">
        <v>42</v>
      </c>
      <c r="H247" s="15">
        <f t="shared" si="6"/>
        <v>-4090</v>
      </c>
      <c r="I247" s="14">
        <f t="shared" si="7"/>
        <v>-0.56632511769592908</v>
      </c>
    </row>
    <row r="248" spans="1:9" x14ac:dyDescent="0.3">
      <c r="A248" s="2" t="s">
        <v>13</v>
      </c>
      <c r="B248" s="2" t="s">
        <v>10</v>
      </c>
      <c r="C248" s="2" t="s">
        <v>20</v>
      </c>
      <c r="D248" s="2">
        <v>4850</v>
      </c>
      <c r="E248" s="2">
        <v>10802</v>
      </c>
      <c r="F248" s="2" t="s">
        <v>12</v>
      </c>
      <c r="G248" s="2" t="s">
        <v>41</v>
      </c>
      <c r="H248" s="15">
        <f t="shared" si="6"/>
        <v>5952</v>
      </c>
      <c r="I248" s="14">
        <f t="shared" si="7"/>
        <v>1.2272164948453608</v>
      </c>
    </row>
    <row r="249" spans="1:9" x14ac:dyDescent="0.3">
      <c r="A249" s="2" t="s">
        <v>27</v>
      </c>
      <c r="B249" s="2" t="s">
        <v>7</v>
      </c>
      <c r="C249" s="2" t="s">
        <v>32</v>
      </c>
      <c r="D249" s="2">
        <v>9903</v>
      </c>
      <c r="E249" s="2">
        <v>7267</v>
      </c>
      <c r="F249" s="2" t="s">
        <v>36</v>
      </c>
      <c r="G249" s="2" t="s">
        <v>42</v>
      </c>
      <c r="H249" s="15">
        <f t="shared" si="6"/>
        <v>-2636</v>
      </c>
      <c r="I249" s="14">
        <f t="shared" si="7"/>
        <v>-0.2661819650610926</v>
      </c>
    </row>
    <row r="250" spans="1:9" x14ac:dyDescent="0.3">
      <c r="A250" s="2" t="s">
        <v>6</v>
      </c>
      <c r="B250" s="2" t="s">
        <v>31</v>
      </c>
      <c r="C250" s="2" t="s">
        <v>21</v>
      </c>
      <c r="D250" s="2">
        <v>8977</v>
      </c>
      <c r="E250" s="2">
        <v>5891</v>
      </c>
      <c r="F250" s="2" t="s">
        <v>12</v>
      </c>
      <c r="G250" s="2" t="s">
        <v>42</v>
      </c>
      <c r="H250" s="15">
        <f t="shared" si="6"/>
        <v>-3086</v>
      </c>
      <c r="I250" s="14">
        <f t="shared" si="7"/>
        <v>-0.34376740559206864</v>
      </c>
    </row>
    <row r="251" spans="1:9" x14ac:dyDescent="0.3">
      <c r="A251" s="2" t="s">
        <v>9</v>
      </c>
      <c r="B251" s="2" t="s">
        <v>23</v>
      </c>
      <c r="C251" s="2" t="s">
        <v>8</v>
      </c>
      <c r="D251" s="2">
        <v>5480</v>
      </c>
      <c r="E251" s="2">
        <v>6988</v>
      </c>
      <c r="F251" s="2" t="s">
        <v>30</v>
      </c>
      <c r="G251" s="2" t="s">
        <v>41</v>
      </c>
      <c r="H251" s="15">
        <f t="shared" si="6"/>
        <v>1508</v>
      </c>
      <c r="I251" s="14">
        <f t="shared" si="7"/>
        <v>0.2751824817518248</v>
      </c>
    </row>
    <row r="252" spans="1:9" x14ac:dyDescent="0.3">
      <c r="A252" s="2" t="s">
        <v>22</v>
      </c>
      <c r="B252" s="2" t="s">
        <v>31</v>
      </c>
      <c r="C252" s="2" t="s">
        <v>14</v>
      </c>
      <c r="D252" s="2">
        <v>5162</v>
      </c>
      <c r="E252" s="2">
        <v>2896</v>
      </c>
      <c r="F252" s="2" t="s">
        <v>12</v>
      </c>
      <c r="G252" s="2" t="s">
        <v>42</v>
      </c>
      <c r="H252" s="15">
        <f t="shared" si="6"/>
        <v>-2266</v>
      </c>
      <c r="I252" s="14">
        <f t="shared" si="7"/>
        <v>-0.43897714064316157</v>
      </c>
    </row>
    <row r="253" spans="1:9" x14ac:dyDescent="0.3">
      <c r="A253" s="2" t="s">
        <v>27</v>
      </c>
      <c r="B253" s="2" t="s">
        <v>23</v>
      </c>
      <c r="C253" s="2" t="s">
        <v>14</v>
      </c>
      <c r="D253" s="2">
        <v>1988</v>
      </c>
      <c r="E253" s="2">
        <v>2949</v>
      </c>
      <c r="F253" s="2" t="s">
        <v>19</v>
      </c>
      <c r="G253" s="2" t="s">
        <v>41</v>
      </c>
      <c r="H253" s="15">
        <f t="shared" si="6"/>
        <v>961</v>
      </c>
      <c r="I253" s="14">
        <f t="shared" si="7"/>
        <v>0.4834004024144869</v>
      </c>
    </row>
    <row r="254" spans="1:9" x14ac:dyDescent="0.3">
      <c r="A254" s="2" t="s">
        <v>6</v>
      </c>
      <c r="B254" s="2" t="s">
        <v>31</v>
      </c>
      <c r="C254" s="2" t="s">
        <v>21</v>
      </c>
      <c r="D254" s="2">
        <v>8505</v>
      </c>
      <c r="E254" s="2">
        <v>6328</v>
      </c>
      <c r="F254" s="2" t="s">
        <v>12</v>
      </c>
      <c r="G254" s="2" t="s">
        <v>42</v>
      </c>
      <c r="H254" s="15">
        <f t="shared" si="6"/>
        <v>-2177</v>
      </c>
      <c r="I254" s="14">
        <f t="shared" si="7"/>
        <v>-0.25596707818930042</v>
      </c>
    </row>
    <row r="255" spans="1:9" x14ac:dyDescent="0.3">
      <c r="A255" s="2" t="s">
        <v>22</v>
      </c>
      <c r="B255" s="2" t="s">
        <v>7</v>
      </c>
      <c r="C255" s="2" t="s">
        <v>26</v>
      </c>
      <c r="D255" s="2">
        <v>8322</v>
      </c>
      <c r="E255" s="2">
        <v>3280</v>
      </c>
      <c r="F255" s="2" t="s">
        <v>15</v>
      </c>
      <c r="G255" s="2" t="s">
        <v>42</v>
      </c>
      <c r="H255" s="15">
        <f t="shared" si="6"/>
        <v>-5042</v>
      </c>
      <c r="I255" s="14">
        <f t="shared" si="7"/>
        <v>-0.60586397500600819</v>
      </c>
    </row>
    <row r="256" spans="1:9" x14ac:dyDescent="0.3">
      <c r="A256" s="2" t="s">
        <v>22</v>
      </c>
      <c r="B256" s="2" t="s">
        <v>35</v>
      </c>
      <c r="C256" s="2" t="s">
        <v>8</v>
      </c>
      <c r="D256" s="2">
        <v>5889</v>
      </c>
      <c r="E256" s="2">
        <v>11407</v>
      </c>
      <c r="F256" s="2" t="s">
        <v>12</v>
      </c>
      <c r="G256" s="2" t="s">
        <v>41</v>
      </c>
      <c r="H256" s="15">
        <f t="shared" si="6"/>
        <v>5518</v>
      </c>
      <c r="I256" s="14">
        <f t="shared" si="7"/>
        <v>0.93700118865681781</v>
      </c>
    </row>
    <row r="257" spans="1:9" x14ac:dyDescent="0.3">
      <c r="A257" s="2" t="s">
        <v>6</v>
      </c>
      <c r="B257" s="2" t="s">
        <v>10</v>
      </c>
      <c r="C257" s="2" t="s">
        <v>24</v>
      </c>
      <c r="D257" s="2">
        <v>3770</v>
      </c>
      <c r="E257" s="2">
        <v>2148</v>
      </c>
      <c r="F257" s="2" t="s">
        <v>36</v>
      </c>
      <c r="G257" s="2" t="s">
        <v>42</v>
      </c>
      <c r="H257" s="15">
        <f t="shared" si="6"/>
        <v>-1622</v>
      </c>
      <c r="I257" s="14">
        <f t="shared" si="7"/>
        <v>-0.43023872679045094</v>
      </c>
    </row>
    <row r="258" spans="1:9" x14ac:dyDescent="0.3">
      <c r="A258" s="2" t="s">
        <v>9</v>
      </c>
      <c r="B258" s="2" t="s">
        <v>28</v>
      </c>
      <c r="C258" s="2" t="s">
        <v>34</v>
      </c>
      <c r="D258" s="2">
        <v>5971</v>
      </c>
      <c r="E258" s="2">
        <v>9057</v>
      </c>
      <c r="F258" s="2" t="s">
        <v>12</v>
      </c>
      <c r="G258" s="2" t="s">
        <v>41</v>
      </c>
      <c r="H258" s="15">
        <f t="shared" si="6"/>
        <v>3086</v>
      </c>
      <c r="I258" s="14">
        <f t="shared" si="7"/>
        <v>0.51683135153240667</v>
      </c>
    </row>
    <row r="259" spans="1:9" x14ac:dyDescent="0.3">
      <c r="A259" s="2" t="s">
        <v>13</v>
      </c>
      <c r="B259" s="2" t="s">
        <v>23</v>
      </c>
      <c r="C259" s="2" t="s">
        <v>20</v>
      </c>
      <c r="D259" s="2">
        <v>8040</v>
      </c>
      <c r="E259" s="2">
        <v>11687</v>
      </c>
      <c r="F259" s="2" t="s">
        <v>30</v>
      </c>
      <c r="G259" s="2" t="s">
        <v>41</v>
      </c>
      <c r="H259" s="15">
        <f t="shared" ref="H259:H322" si="8">(E259-D259)</f>
        <v>3647</v>
      </c>
      <c r="I259" s="14">
        <f t="shared" ref="I259:I322" si="9">H259/D259</f>
        <v>0.45360696517412935</v>
      </c>
    </row>
    <row r="260" spans="1:9" x14ac:dyDescent="0.3">
      <c r="A260" s="2" t="s">
        <v>22</v>
      </c>
      <c r="B260" s="2" t="s">
        <v>23</v>
      </c>
      <c r="C260" s="2" t="s">
        <v>20</v>
      </c>
      <c r="D260" s="2">
        <v>6994</v>
      </c>
      <c r="E260" s="2">
        <v>1587</v>
      </c>
      <c r="F260" s="2" t="s">
        <v>30</v>
      </c>
      <c r="G260" s="2" t="s">
        <v>42</v>
      </c>
      <c r="H260" s="15">
        <f t="shared" si="8"/>
        <v>-5407</v>
      </c>
      <c r="I260" s="14">
        <f t="shared" si="9"/>
        <v>-0.77309122104661143</v>
      </c>
    </row>
    <row r="261" spans="1:9" x14ac:dyDescent="0.3">
      <c r="A261" s="2" t="s">
        <v>27</v>
      </c>
      <c r="B261" s="2" t="s">
        <v>7</v>
      </c>
      <c r="C261" s="2" t="s">
        <v>14</v>
      </c>
      <c r="D261" s="2">
        <v>5914</v>
      </c>
      <c r="E261" s="2">
        <v>8379</v>
      </c>
      <c r="F261" s="2" t="s">
        <v>30</v>
      </c>
      <c r="G261" s="2" t="s">
        <v>41</v>
      </c>
      <c r="H261" s="15">
        <f t="shared" si="8"/>
        <v>2465</v>
      </c>
      <c r="I261" s="14">
        <f t="shared" si="9"/>
        <v>0.41680757524518092</v>
      </c>
    </row>
    <row r="262" spans="1:9" x14ac:dyDescent="0.3">
      <c r="A262" s="2" t="s">
        <v>22</v>
      </c>
      <c r="B262" s="2" t="s">
        <v>25</v>
      </c>
      <c r="C262" s="2" t="s">
        <v>24</v>
      </c>
      <c r="D262" s="2">
        <v>3620</v>
      </c>
      <c r="E262" s="2">
        <v>3030</v>
      </c>
      <c r="F262" s="2" t="s">
        <v>12</v>
      </c>
      <c r="G262" s="2" t="s">
        <v>42</v>
      </c>
      <c r="H262" s="15">
        <f t="shared" si="8"/>
        <v>-590</v>
      </c>
      <c r="I262" s="14">
        <f t="shared" si="9"/>
        <v>-0.16298342541436464</v>
      </c>
    </row>
    <row r="263" spans="1:9" x14ac:dyDescent="0.3">
      <c r="A263" s="2" t="s">
        <v>16</v>
      </c>
      <c r="B263" s="2" t="s">
        <v>35</v>
      </c>
      <c r="C263" s="2" t="s">
        <v>32</v>
      </c>
      <c r="D263" s="2">
        <v>7143</v>
      </c>
      <c r="E263" s="2">
        <v>9689</v>
      </c>
      <c r="F263" s="2" t="s">
        <v>12</v>
      </c>
      <c r="G263" s="2" t="s">
        <v>41</v>
      </c>
      <c r="H263" s="15">
        <f t="shared" si="8"/>
        <v>2546</v>
      </c>
      <c r="I263" s="14">
        <f t="shared" si="9"/>
        <v>0.35643287134257312</v>
      </c>
    </row>
    <row r="264" spans="1:9" x14ac:dyDescent="0.3">
      <c r="A264" s="2" t="s">
        <v>33</v>
      </c>
      <c r="B264" s="2" t="s">
        <v>25</v>
      </c>
      <c r="C264" s="2" t="s">
        <v>34</v>
      </c>
      <c r="D264" s="2">
        <v>9061</v>
      </c>
      <c r="E264" s="2">
        <v>2491</v>
      </c>
      <c r="F264" s="2" t="s">
        <v>19</v>
      </c>
      <c r="G264" s="2" t="s">
        <v>42</v>
      </c>
      <c r="H264" s="15">
        <f t="shared" si="8"/>
        <v>-6570</v>
      </c>
      <c r="I264" s="14">
        <f t="shared" si="9"/>
        <v>-0.72508553139830045</v>
      </c>
    </row>
    <row r="265" spans="1:9" x14ac:dyDescent="0.3">
      <c r="A265" s="2" t="s">
        <v>33</v>
      </c>
      <c r="B265" s="2" t="s">
        <v>23</v>
      </c>
      <c r="C265" s="2" t="s">
        <v>29</v>
      </c>
      <c r="D265" s="2">
        <v>7272</v>
      </c>
      <c r="E265" s="2">
        <v>5363</v>
      </c>
      <c r="F265" s="2" t="s">
        <v>15</v>
      </c>
      <c r="G265" s="2" t="s">
        <v>42</v>
      </c>
      <c r="H265" s="15">
        <f t="shared" si="8"/>
        <v>-1909</v>
      </c>
      <c r="I265" s="14">
        <f t="shared" si="9"/>
        <v>-0.26251375137513749</v>
      </c>
    </row>
    <row r="266" spans="1:9" x14ac:dyDescent="0.3">
      <c r="A266" s="2" t="s">
        <v>22</v>
      </c>
      <c r="B266" s="2" t="s">
        <v>25</v>
      </c>
      <c r="C266" s="2" t="s">
        <v>21</v>
      </c>
      <c r="D266" s="2">
        <v>1144</v>
      </c>
      <c r="E266" s="2">
        <v>1264</v>
      </c>
      <c r="F266" s="2" t="s">
        <v>36</v>
      </c>
      <c r="G266" s="2" t="s">
        <v>41</v>
      </c>
      <c r="H266" s="15">
        <f t="shared" si="8"/>
        <v>120</v>
      </c>
      <c r="I266" s="14">
        <f t="shared" si="9"/>
        <v>0.1048951048951049</v>
      </c>
    </row>
    <row r="267" spans="1:9" x14ac:dyDescent="0.3">
      <c r="A267" s="2" t="s">
        <v>9</v>
      </c>
      <c r="B267" s="2" t="s">
        <v>25</v>
      </c>
      <c r="C267" s="2" t="s">
        <v>11</v>
      </c>
      <c r="D267" s="2">
        <v>1574</v>
      </c>
      <c r="E267" s="2">
        <v>5204</v>
      </c>
      <c r="F267" s="2" t="s">
        <v>36</v>
      </c>
      <c r="G267" s="2" t="s">
        <v>41</v>
      </c>
      <c r="H267" s="15">
        <f t="shared" si="8"/>
        <v>3630</v>
      </c>
      <c r="I267" s="14">
        <f t="shared" si="9"/>
        <v>2.3062261753494284</v>
      </c>
    </row>
    <row r="268" spans="1:9" x14ac:dyDescent="0.3">
      <c r="A268" s="2" t="s">
        <v>16</v>
      </c>
      <c r="B268" s="2" t="s">
        <v>7</v>
      </c>
      <c r="C268" s="2" t="s">
        <v>24</v>
      </c>
      <c r="D268" s="2">
        <v>2273</v>
      </c>
      <c r="E268" s="2">
        <v>9429</v>
      </c>
      <c r="F268" s="2" t="s">
        <v>12</v>
      </c>
      <c r="G268" s="2" t="s">
        <v>41</v>
      </c>
      <c r="H268" s="15">
        <f t="shared" si="8"/>
        <v>7156</v>
      </c>
      <c r="I268" s="14">
        <f t="shared" si="9"/>
        <v>3.1482622085349758</v>
      </c>
    </row>
    <row r="269" spans="1:9" x14ac:dyDescent="0.3">
      <c r="A269" s="2" t="s">
        <v>27</v>
      </c>
      <c r="B269" s="2" t="s">
        <v>23</v>
      </c>
      <c r="C269" s="2" t="s">
        <v>8</v>
      </c>
      <c r="D269" s="2">
        <v>6168</v>
      </c>
      <c r="E269" s="2">
        <v>9646</v>
      </c>
      <c r="F269" s="2" t="s">
        <v>19</v>
      </c>
      <c r="G269" s="2" t="s">
        <v>41</v>
      </c>
      <c r="H269" s="15">
        <f t="shared" si="8"/>
        <v>3478</v>
      </c>
      <c r="I269" s="14">
        <f t="shared" si="9"/>
        <v>0.56387808041504539</v>
      </c>
    </row>
    <row r="270" spans="1:9" x14ac:dyDescent="0.3">
      <c r="A270" s="2" t="s">
        <v>22</v>
      </c>
      <c r="B270" s="2" t="s">
        <v>10</v>
      </c>
      <c r="C270" s="2" t="s">
        <v>32</v>
      </c>
      <c r="D270" s="2">
        <v>4358</v>
      </c>
      <c r="E270" s="2">
        <v>8443</v>
      </c>
      <c r="F270" s="2" t="s">
        <v>19</v>
      </c>
      <c r="G270" s="2" t="s">
        <v>41</v>
      </c>
      <c r="H270" s="15">
        <f t="shared" si="8"/>
        <v>4085</v>
      </c>
      <c r="I270" s="14">
        <f t="shared" si="9"/>
        <v>0.93735658558972001</v>
      </c>
    </row>
    <row r="271" spans="1:9" x14ac:dyDescent="0.3">
      <c r="A271" s="2" t="s">
        <v>22</v>
      </c>
      <c r="B271" s="2" t="s">
        <v>23</v>
      </c>
      <c r="C271" s="2" t="s">
        <v>29</v>
      </c>
      <c r="D271" s="2">
        <v>4347</v>
      </c>
      <c r="E271" s="2">
        <v>8891</v>
      </c>
      <c r="F271" s="2" t="s">
        <v>19</v>
      </c>
      <c r="G271" s="2" t="s">
        <v>41</v>
      </c>
      <c r="H271" s="15">
        <f t="shared" si="8"/>
        <v>4544</v>
      </c>
      <c r="I271" s="14">
        <f t="shared" si="9"/>
        <v>1.0453186105360019</v>
      </c>
    </row>
    <row r="272" spans="1:9" x14ac:dyDescent="0.3">
      <c r="A272" s="2" t="s">
        <v>6</v>
      </c>
      <c r="B272" s="2" t="s">
        <v>31</v>
      </c>
      <c r="C272" s="2" t="s">
        <v>18</v>
      </c>
      <c r="D272" s="2">
        <v>7245</v>
      </c>
      <c r="E272" s="2">
        <v>3122</v>
      </c>
      <c r="F272" s="2" t="s">
        <v>12</v>
      </c>
      <c r="G272" s="2" t="s">
        <v>42</v>
      </c>
      <c r="H272" s="15">
        <f t="shared" si="8"/>
        <v>-4123</v>
      </c>
      <c r="I272" s="14">
        <f t="shared" si="9"/>
        <v>-0.56908212560386473</v>
      </c>
    </row>
    <row r="273" spans="1:9" x14ac:dyDescent="0.3">
      <c r="A273" s="2" t="s">
        <v>33</v>
      </c>
      <c r="B273" s="2" t="s">
        <v>28</v>
      </c>
      <c r="C273" s="2" t="s">
        <v>29</v>
      </c>
      <c r="D273" s="2">
        <v>4638</v>
      </c>
      <c r="E273" s="2">
        <v>11229</v>
      </c>
      <c r="F273" s="2" t="s">
        <v>36</v>
      </c>
      <c r="G273" s="2" t="s">
        <v>41</v>
      </c>
      <c r="H273" s="15">
        <f t="shared" si="8"/>
        <v>6591</v>
      </c>
      <c r="I273" s="14">
        <f t="shared" si="9"/>
        <v>1.4210866752910738</v>
      </c>
    </row>
    <row r="274" spans="1:9" x14ac:dyDescent="0.3">
      <c r="A274" s="2" t="s">
        <v>6</v>
      </c>
      <c r="B274" s="2" t="s">
        <v>31</v>
      </c>
      <c r="C274" s="2" t="s">
        <v>24</v>
      </c>
      <c r="D274" s="2">
        <v>9234</v>
      </c>
      <c r="E274" s="2">
        <v>1271</v>
      </c>
      <c r="F274" s="2" t="s">
        <v>19</v>
      </c>
      <c r="G274" s="2" t="s">
        <v>42</v>
      </c>
      <c r="H274" s="15">
        <f t="shared" si="8"/>
        <v>-7963</v>
      </c>
      <c r="I274" s="14">
        <f t="shared" si="9"/>
        <v>-0.86235650855533896</v>
      </c>
    </row>
    <row r="275" spans="1:9" x14ac:dyDescent="0.3">
      <c r="A275" s="2" t="s">
        <v>16</v>
      </c>
      <c r="B275" s="2" t="s">
        <v>31</v>
      </c>
      <c r="C275" s="2" t="s">
        <v>32</v>
      </c>
      <c r="D275" s="2">
        <v>5092</v>
      </c>
      <c r="E275" s="2">
        <v>6390</v>
      </c>
      <c r="F275" s="2" t="s">
        <v>19</v>
      </c>
      <c r="G275" s="2" t="s">
        <v>41</v>
      </c>
      <c r="H275" s="15">
        <f t="shared" si="8"/>
        <v>1298</v>
      </c>
      <c r="I275" s="14">
        <f t="shared" si="9"/>
        <v>0.25490966221523959</v>
      </c>
    </row>
    <row r="276" spans="1:9" x14ac:dyDescent="0.3">
      <c r="A276" s="2" t="s">
        <v>33</v>
      </c>
      <c r="B276" s="2" t="s">
        <v>23</v>
      </c>
      <c r="C276" s="2" t="s">
        <v>34</v>
      </c>
      <c r="D276" s="2">
        <v>2595</v>
      </c>
      <c r="E276" s="2">
        <v>8706</v>
      </c>
      <c r="F276" s="2" t="s">
        <v>12</v>
      </c>
      <c r="G276" s="2" t="s">
        <v>41</v>
      </c>
      <c r="H276" s="15">
        <f t="shared" si="8"/>
        <v>6111</v>
      </c>
      <c r="I276" s="14">
        <f t="shared" si="9"/>
        <v>2.3549132947976879</v>
      </c>
    </row>
    <row r="277" spans="1:9" x14ac:dyDescent="0.3">
      <c r="A277" s="2" t="s">
        <v>9</v>
      </c>
      <c r="B277" s="2" t="s">
        <v>35</v>
      </c>
      <c r="C277" s="2" t="s">
        <v>29</v>
      </c>
      <c r="D277" s="2">
        <v>4919</v>
      </c>
      <c r="E277" s="2">
        <v>9472</v>
      </c>
      <c r="F277" s="2" t="s">
        <v>36</v>
      </c>
      <c r="G277" s="2" t="s">
        <v>41</v>
      </c>
      <c r="H277" s="15">
        <f t="shared" si="8"/>
        <v>4553</v>
      </c>
      <c r="I277" s="14">
        <f t="shared" si="9"/>
        <v>0.92559463305549905</v>
      </c>
    </row>
    <row r="278" spans="1:9" x14ac:dyDescent="0.3">
      <c r="A278" s="2" t="s">
        <v>33</v>
      </c>
      <c r="B278" s="2" t="s">
        <v>25</v>
      </c>
      <c r="C278" s="2" t="s">
        <v>26</v>
      </c>
      <c r="D278" s="2">
        <v>8499</v>
      </c>
      <c r="E278" s="2">
        <v>807</v>
      </c>
      <c r="F278" s="2" t="s">
        <v>15</v>
      </c>
      <c r="G278" s="2" t="s">
        <v>42</v>
      </c>
      <c r="H278" s="15">
        <f t="shared" si="8"/>
        <v>-7692</v>
      </c>
      <c r="I278" s="14">
        <f t="shared" si="9"/>
        <v>-0.90504765266501941</v>
      </c>
    </row>
    <row r="279" spans="1:9" x14ac:dyDescent="0.3">
      <c r="A279" s="2" t="s">
        <v>13</v>
      </c>
      <c r="B279" s="2" t="s">
        <v>10</v>
      </c>
      <c r="C279" s="2" t="s">
        <v>17</v>
      </c>
      <c r="D279" s="2">
        <v>5447</v>
      </c>
      <c r="E279" s="2">
        <v>843</v>
      </c>
      <c r="F279" s="2" t="s">
        <v>15</v>
      </c>
      <c r="G279" s="2" t="s">
        <v>42</v>
      </c>
      <c r="H279" s="15">
        <f t="shared" si="8"/>
        <v>-4604</v>
      </c>
      <c r="I279" s="14">
        <f t="shared" si="9"/>
        <v>-0.84523590967505047</v>
      </c>
    </row>
    <row r="280" spans="1:9" x14ac:dyDescent="0.3">
      <c r="A280" s="2" t="s">
        <v>27</v>
      </c>
      <c r="B280" s="2" t="s">
        <v>7</v>
      </c>
      <c r="C280" s="2" t="s">
        <v>32</v>
      </c>
      <c r="D280" s="2">
        <v>7438</v>
      </c>
      <c r="E280" s="2">
        <v>1853</v>
      </c>
      <c r="F280" s="2" t="s">
        <v>30</v>
      </c>
      <c r="G280" s="2" t="s">
        <v>42</v>
      </c>
      <c r="H280" s="15">
        <f t="shared" si="8"/>
        <v>-5585</v>
      </c>
      <c r="I280" s="14">
        <f t="shared" si="9"/>
        <v>-0.75087389083086853</v>
      </c>
    </row>
    <row r="281" spans="1:9" x14ac:dyDescent="0.3">
      <c r="A281" s="2" t="s">
        <v>6</v>
      </c>
      <c r="B281" s="2" t="s">
        <v>35</v>
      </c>
      <c r="C281" s="2" t="s">
        <v>8</v>
      </c>
      <c r="D281" s="2">
        <v>7425</v>
      </c>
      <c r="E281" s="2">
        <v>5535</v>
      </c>
      <c r="F281" s="2" t="s">
        <v>36</v>
      </c>
      <c r="G281" s="2" t="s">
        <v>42</v>
      </c>
      <c r="H281" s="15">
        <f t="shared" si="8"/>
        <v>-1890</v>
      </c>
      <c r="I281" s="14">
        <f t="shared" si="9"/>
        <v>-0.25454545454545452</v>
      </c>
    </row>
    <row r="282" spans="1:9" x14ac:dyDescent="0.3">
      <c r="A282" s="2" t="s">
        <v>22</v>
      </c>
      <c r="B282" s="2" t="s">
        <v>7</v>
      </c>
      <c r="C282" s="2" t="s">
        <v>34</v>
      </c>
      <c r="D282" s="2">
        <v>2187</v>
      </c>
      <c r="E282" s="2">
        <v>2127</v>
      </c>
      <c r="F282" s="2" t="s">
        <v>19</v>
      </c>
      <c r="G282" s="2" t="s">
        <v>42</v>
      </c>
      <c r="H282" s="15">
        <f t="shared" si="8"/>
        <v>-60</v>
      </c>
      <c r="I282" s="14">
        <f t="shared" si="9"/>
        <v>-2.7434842249657063E-2</v>
      </c>
    </row>
    <row r="283" spans="1:9" x14ac:dyDescent="0.3">
      <c r="A283" s="2" t="s">
        <v>6</v>
      </c>
      <c r="B283" s="2" t="s">
        <v>35</v>
      </c>
      <c r="C283" s="2" t="s">
        <v>11</v>
      </c>
      <c r="D283" s="2">
        <v>7166</v>
      </c>
      <c r="E283" s="2">
        <v>3434</v>
      </c>
      <c r="F283" s="2" t="s">
        <v>12</v>
      </c>
      <c r="G283" s="2" t="s">
        <v>42</v>
      </c>
      <c r="H283" s="15">
        <f t="shared" si="8"/>
        <v>-3732</v>
      </c>
      <c r="I283" s="14">
        <f t="shared" si="9"/>
        <v>-0.52079263187273239</v>
      </c>
    </row>
    <row r="284" spans="1:9" x14ac:dyDescent="0.3">
      <c r="A284" s="2" t="s">
        <v>27</v>
      </c>
      <c r="B284" s="2" t="s">
        <v>35</v>
      </c>
      <c r="C284" s="2" t="s">
        <v>21</v>
      </c>
      <c r="D284" s="2">
        <v>4089</v>
      </c>
      <c r="E284" s="2">
        <v>7698</v>
      </c>
      <c r="F284" s="2" t="s">
        <v>30</v>
      </c>
      <c r="G284" s="2" t="s">
        <v>41</v>
      </c>
      <c r="H284" s="15">
        <f t="shared" si="8"/>
        <v>3609</v>
      </c>
      <c r="I284" s="14">
        <f t="shared" si="9"/>
        <v>0.88261188554658843</v>
      </c>
    </row>
    <row r="285" spans="1:9" x14ac:dyDescent="0.3">
      <c r="A285" s="2" t="s">
        <v>27</v>
      </c>
      <c r="B285" s="2" t="s">
        <v>7</v>
      </c>
      <c r="C285" s="2" t="s">
        <v>24</v>
      </c>
      <c r="D285" s="2">
        <v>6958</v>
      </c>
      <c r="E285" s="2">
        <v>5651</v>
      </c>
      <c r="F285" s="2" t="s">
        <v>15</v>
      </c>
      <c r="G285" s="2" t="s">
        <v>42</v>
      </c>
      <c r="H285" s="15">
        <f t="shared" si="8"/>
        <v>-1307</v>
      </c>
      <c r="I285" s="14">
        <f t="shared" si="9"/>
        <v>-0.18784133371658523</v>
      </c>
    </row>
    <row r="286" spans="1:9" x14ac:dyDescent="0.3">
      <c r="A286" s="2" t="s">
        <v>22</v>
      </c>
      <c r="B286" s="2" t="s">
        <v>7</v>
      </c>
      <c r="C286" s="2" t="s">
        <v>8</v>
      </c>
      <c r="D286" s="2">
        <v>4206</v>
      </c>
      <c r="E286" s="2">
        <v>2616</v>
      </c>
      <c r="F286" s="2" t="s">
        <v>36</v>
      </c>
      <c r="G286" s="2" t="s">
        <v>42</v>
      </c>
      <c r="H286" s="15">
        <f t="shared" si="8"/>
        <v>-1590</v>
      </c>
      <c r="I286" s="14">
        <f t="shared" si="9"/>
        <v>-0.37803138373751782</v>
      </c>
    </row>
    <row r="287" spans="1:9" x14ac:dyDescent="0.3">
      <c r="A287" s="2" t="s">
        <v>13</v>
      </c>
      <c r="B287" s="2" t="s">
        <v>31</v>
      </c>
      <c r="C287" s="2" t="s">
        <v>26</v>
      </c>
      <c r="D287" s="2">
        <v>7470</v>
      </c>
      <c r="E287" s="2">
        <v>10266</v>
      </c>
      <c r="F287" s="2" t="s">
        <v>12</v>
      </c>
      <c r="G287" s="2" t="s">
        <v>41</v>
      </c>
      <c r="H287" s="15">
        <f t="shared" si="8"/>
        <v>2796</v>
      </c>
      <c r="I287" s="14">
        <f t="shared" si="9"/>
        <v>0.3742971887550201</v>
      </c>
    </row>
    <row r="288" spans="1:9" x14ac:dyDescent="0.3">
      <c r="A288" s="2" t="s">
        <v>13</v>
      </c>
      <c r="B288" s="2" t="s">
        <v>23</v>
      </c>
      <c r="C288" s="2" t="s">
        <v>18</v>
      </c>
      <c r="D288" s="2">
        <v>3486</v>
      </c>
      <c r="E288" s="2">
        <v>9246</v>
      </c>
      <c r="F288" s="2" t="s">
        <v>19</v>
      </c>
      <c r="G288" s="2" t="s">
        <v>41</v>
      </c>
      <c r="H288" s="15">
        <f t="shared" si="8"/>
        <v>5760</v>
      </c>
      <c r="I288" s="14">
        <f t="shared" si="9"/>
        <v>1.6523235800344234</v>
      </c>
    </row>
    <row r="289" spans="1:9" x14ac:dyDescent="0.3">
      <c r="A289" s="2" t="s">
        <v>13</v>
      </c>
      <c r="B289" s="2" t="s">
        <v>7</v>
      </c>
      <c r="C289" s="2" t="s">
        <v>20</v>
      </c>
      <c r="D289" s="2">
        <v>3380</v>
      </c>
      <c r="E289" s="2">
        <v>6856</v>
      </c>
      <c r="F289" s="2" t="s">
        <v>12</v>
      </c>
      <c r="G289" s="2" t="s">
        <v>41</v>
      </c>
      <c r="H289" s="15">
        <f t="shared" si="8"/>
        <v>3476</v>
      </c>
      <c r="I289" s="14">
        <f t="shared" si="9"/>
        <v>1.0284023668639053</v>
      </c>
    </row>
    <row r="290" spans="1:9" x14ac:dyDescent="0.3">
      <c r="A290" s="2" t="s">
        <v>33</v>
      </c>
      <c r="B290" s="2" t="s">
        <v>25</v>
      </c>
      <c r="C290" s="2" t="s">
        <v>14</v>
      </c>
      <c r="D290" s="2">
        <v>7076</v>
      </c>
      <c r="E290" s="2">
        <v>2450</v>
      </c>
      <c r="F290" s="2" t="s">
        <v>19</v>
      </c>
      <c r="G290" s="2" t="s">
        <v>42</v>
      </c>
      <c r="H290" s="15">
        <f t="shared" si="8"/>
        <v>-4626</v>
      </c>
      <c r="I290" s="14">
        <f t="shared" si="9"/>
        <v>-0.65375918598078009</v>
      </c>
    </row>
    <row r="291" spans="1:9" x14ac:dyDescent="0.3">
      <c r="A291" s="2" t="s">
        <v>16</v>
      </c>
      <c r="B291" s="2" t="s">
        <v>10</v>
      </c>
      <c r="C291" s="2" t="s">
        <v>14</v>
      </c>
      <c r="D291" s="2">
        <v>7142</v>
      </c>
      <c r="E291" s="2">
        <v>6782</v>
      </c>
      <c r="F291" s="2" t="s">
        <v>30</v>
      </c>
      <c r="G291" s="2" t="s">
        <v>42</v>
      </c>
      <c r="H291" s="15">
        <f t="shared" si="8"/>
        <v>-360</v>
      </c>
      <c r="I291" s="14">
        <f t="shared" si="9"/>
        <v>-5.04060487258471E-2</v>
      </c>
    </row>
    <row r="292" spans="1:9" x14ac:dyDescent="0.3">
      <c r="A292" s="2" t="s">
        <v>9</v>
      </c>
      <c r="B292" s="2" t="s">
        <v>25</v>
      </c>
      <c r="C292" s="2" t="s">
        <v>24</v>
      </c>
      <c r="D292" s="2">
        <v>4696</v>
      </c>
      <c r="E292" s="2">
        <v>7403</v>
      </c>
      <c r="F292" s="2" t="s">
        <v>15</v>
      </c>
      <c r="G292" s="2" t="s">
        <v>41</v>
      </c>
      <c r="H292" s="15">
        <f t="shared" si="8"/>
        <v>2707</v>
      </c>
      <c r="I292" s="14">
        <f t="shared" si="9"/>
        <v>0.57644804088586032</v>
      </c>
    </row>
    <row r="293" spans="1:9" x14ac:dyDescent="0.3">
      <c r="A293" s="2" t="s">
        <v>33</v>
      </c>
      <c r="B293" s="2" t="s">
        <v>10</v>
      </c>
      <c r="C293" s="2" t="s">
        <v>32</v>
      </c>
      <c r="D293" s="2">
        <v>1982</v>
      </c>
      <c r="E293" s="2">
        <v>4862</v>
      </c>
      <c r="F293" s="2" t="s">
        <v>19</v>
      </c>
      <c r="G293" s="2" t="s">
        <v>41</v>
      </c>
      <c r="H293" s="15">
        <f t="shared" si="8"/>
        <v>2880</v>
      </c>
      <c r="I293" s="14">
        <f t="shared" si="9"/>
        <v>1.4530776992936427</v>
      </c>
    </row>
    <row r="294" spans="1:9" x14ac:dyDescent="0.3">
      <c r="A294" s="2" t="s">
        <v>22</v>
      </c>
      <c r="B294" s="2" t="s">
        <v>23</v>
      </c>
      <c r="C294" s="2" t="s">
        <v>8</v>
      </c>
      <c r="D294" s="2">
        <v>9021</v>
      </c>
      <c r="E294" s="2">
        <v>8953</v>
      </c>
      <c r="F294" s="2" t="s">
        <v>30</v>
      </c>
      <c r="G294" s="2" t="s">
        <v>42</v>
      </c>
      <c r="H294" s="15">
        <f t="shared" si="8"/>
        <v>-68</v>
      </c>
      <c r="I294" s="14">
        <f t="shared" si="9"/>
        <v>-7.5379669659682959E-3</v>
      </c>
    </row>
    <row r="295" spans="1:9" x14ac:dyDescent="0.3">
      <c r="A295" s="2" t="s">
        <v>16</v>
      </c>
      <c r="B295" s="2" t="s">
        <v>23</v>
      </c>
      <c r="C295" s="2" t="s">
        <v>8</v>
      </c>
      <c r="D295" s="2">
        <v>9394</v>
      </c>
      <c r="E295" s="2">
        <v>3904</v>
      </c>
      <c r="F295" s="2" t="s">
        <v>12</v>
      </c>
      <c r="G295" s="2" t="s">
        <v>42</v>
      </c>
      <c r="H295" s="15">
        <f t="shared" si="8"/>
        <v>-5490</v>
      </c>
      <c r="I295" s="14">
        <f t="shared" si="9"/>
        <v>-0.58441558441558439</v>
      </c>
    </row>
    <row r="296" spans="1:9" x14ac:dyDescent="0.3">
      <c r="A296" s="2" t="s">
        <v>9</v>
      </c>
      <c r="B296" s="2" t="s">
        <v>23</v>
      </c>
      <c r="C296" s="2" t="s">
        <v>8</v>
      </c>
      <c r="D296" s="2">
        <v>5689</v>
      </c>
      <c r="E296" s="2">
        <v>5491</v>
      </c>
      <c r="F296" s="2" t="s">
        <v>15</v>
      </c>
      <c r="G296" s="2" t="s">
        <v>42</v>
      </c>
      <c r="H296" s="15">
        <f t="shared" si="8"/>
        <v>-198</v>
      </c>
      <c r="I296" s="14">
        <f t="shared" si="9"/>
        <v>-3.4804007734223943E-2</v>
      </c>
    </row>
    <row r="297" spans="1:9" x14ac:dyDescent="0.3">
      <c r="A297" s="2" t="s">
        <v>27</v>
      </c>
      <c r="B297" s="2" t="s">
        <v>7</v>
      </c>
      <c r="C297" s="2" t="s">
        <v>17</v>
      </c>
      <c r="D297" s="2">
        <v>9149</v>
      </c>
      <c r="E297" s="2">
        <v>6484</v>
      </c>
      <c r="F297" s="2" t="s">
        <v>36</v>
      </c>
      <c r="G297" s="2" t="s">
        <v>42</v>
      </c>
      <c r="H297" s="15">
        <f t="shared" si="8"/>
        <v>-2665</v>
      </c>
      <c r="I297" s="14">
        <f t="shared" si="9"/>
        <v>-0.29128866542791559</v>
      </c>
    </row>
    <row r="298" spans="1:9" x14ac:dyDescent="0.3">
      <c r="A298" s="2" t="s">
        <v>22</v>
      </c>
      <c r="B298" s="2" t="s">
        <v>7</v>
      </c>
      <c r="C298" s="2" t="s">
        <v>17</v>
      </c>
      <c r="D298" s="2">
        <v>3361</v>
      </c>
      <c r="E298" s="2">
        <v>8670</v>
      </c>
      <c r="F298" s="2" t="s">
        <v>19</v>
      </c>
      <c r="G298" s="2" t="s">
        <v>41</v>
      </c>
      <c r="H298" s="15">
        <f t="shared" si="8"/>
        <v>5309</v>
      </c>
      <c r="I298" s="14">
        <f t="shared" si="9"/>
        <v>1.5795894079143111</v>
      </c>
    </row>
    <row r="299" spans="1:9" x14ac:dyDescent="0.3">
      <c r="A299" s="2" t="s">
        <v>9</v>
      </c>
      <c r="B299" s="2" t="s">
        <v>23</v>
      </c>
      <c r="C299" s="2" t="s">
        <v>14</v>
      </c>
      <c r="D299" s="2">
        <v>5020</v>
      </c>
      <c r="E299" s="2">
        <v>1318</v>
      </c>
      <c r="F299" s="2" t="s">
        <v>36</v>
      </c>
      <c r="G299" s="2" t="s">
        <v>42</v>
      </c>
      <c r="H299" s="15">
        <f t="shared" si="8"/>
        <v>-3702</v>
      </c>
      <c r="I299" s="14">
        <f t="shared" si="9"/>
        <v>-0.73745019920318722</v>
      </c>
    </row>
    <row r="300" spans="1:9" x14ac:dyDescent="0.3">
      <c r="A300" s="2" t="s">
        <v>16</v>
      </c>
      <c r="B300" s="2" t="s">
        <v>35</v>
      </c>
      <c r="C300" s="2" t="s">
        <v>11</v>
      </c>
      <c r="D300" s="2">
        <v>1954</v>
      </c>
      <c r="E300" s="2">
        <v>11251</v>
      </c>
      <c r="F300" s="2" t="s">
        <v>12</v>
      </c>
      <c r="G300" s="2" t="s">
        <v>41</v>
      </c>
      <c r="H300" s="15">
        <f t="shared" si="8"/>
        <v>9297</v>
      </c>
      <c r="I300" s="14">
        <f t="shared" si="9"/>
        <v>4.757932446264074</v>
      </c>
    </row>
    <row r="301" spans="1:9" x14ac:dyDescent="0.3">
      <c r="A301" s="2" t="s">
        <v>16</v>
      </c>
      <c r="B301" s="2" t="s">
        <v>35</v>
      </c>
      <c r="C301" s="2" t="s">
        <v>20</v>
      </c>
      <c r="D301" s="2">
        <v>6913</v>
      </c>
      <c r="E301" s="2">
        <v>3025</v>
      </c>
      <c r="F301" s="2" t="s">
        <v>15</v>
      </c>
      <c r="G301" s="2" t="s">
        <v>42</v>
      </c>
      <c r="H301" s="15">
        <f t="shared" si="8"/>
        <v>-3888</v>
      </c>
      <c r="I301" s="14">
        <f t="shared" si="9"/>
        <v>-0.56241863156372052</v>
      </c>
    </row>
    <row r="302" spans="1:9" x14ac:dyDescent="0.3">
      <c r="A302" s="2" t="s">
        <v>6</v>
      </c>
      <c r="B302" s="2" t="s">
        <v>10</v>
      </c>
      <c r="C302" s="2" t="s">
        <v>11</v>
      </c>
      <c r="D302" s="2">
        <v>6517</v>
      </c>
      <c r="E302" s="2">
        <v>11194</v>
      </c>
      <c r="F302" s="2" t="s">
        <v>12</v>
      </c>
      <c r="G302" s="2" t="s">
        <v>41</v>
      </c>
      <c r="H302" s="15">
        <f t="shared" si="8"/>
        <v>4677</v>
      </c>
      <c r="I302" s="14">
        <f t="shared" si="9"/>
        <v>0.71766150069050172</v>
      </c>
    </row>
    <row r="303" spans="1:9" x14ac:dyDescent="0.3">
      <c r="A303" s="2" t="s">
        <v>13</v>
      </c>
      <c r="B303" s="2" t="s">
        <v>23</v>
      </c>
      <c r="C303" s="2" t="s">
        <v>17</v>
      </c>
      <c r="D303" s="2">
        <v>1265</v>
      </c>
      <c r="E303" s="2">
        <v>6688</v>
      </c>
      <c r="F303" s="2" t="s">
        <v>15</v>
      </c>
      <c r="G303" s="2" t="s">
        <v>41</v>
      </c>
      <c r="H303" s="15">
        <f t="shared" si="8"/>
        <v>5423</v>
      </c>
      <c r="I303" s="14">
        <f t="shared" si="9"/>
        <v>4.2869565217391301</v>
      </c>
    </row>
    <row r="304" spans="1:9" x14ac:dyDescent="0.3">
      <c r="A304" s="2" t="s">
        <v>33</v>
      </c>
      <c r="B304" s="2" t="s">
        <v>25</v>
      </c>
      <c r="C304" s="2" t="s">
        <v>29</v>
      </c>
      <c r="D304" s="2">
        <v>8440</v>
      </c>
      <c r="E304" s="2">
        <v>1391</v>
      </c>
      <c r="F304" s="2" t="s">
        <v>19</v>
      </c>
      <c r="G304" s="2" t="s">
        <v>42</v>
      </c>
      <c r="H304" s="15">
        <f t="shared" si="8"/>
        <v>-7049</v>
      </c>
      <c r="I304" s="14">
        <f t="shared" si="9"/>
        <v>-0.83518957345971567</v>
      </c>
    </row>
    <row r="305" spans="1:9" x14ac:dyDescent="0.3">
      <c r="A305" s="2" t="s">
        <v>16</v>
      </c>
      <c r="B305" s="2" t="s">
        <v>23</v>
      </c>
      <c r="C305" s="2" t="s">
        <v>29</v>
      </c>
      <c r="D305" s="2">
        <v>4695</v>
      </c>
      <c r="E305" s="2">
        <v>5418</v>
      </c>
      <c r="F305" s="2" t="s">
        <v>19</v>
      </c>
      <c r="G305" s="2" t="s">
        <v>41</v>
      </c>
      <c r="H305" s="15">
        <f t="shared" si="8"/>
        <v>723</v>
      </c>
      <c r="I305" s="14">
        <f t="shared" si="9"/>
        <v>0.15399361022364216</v>
      </c>
    </row>
    <row r="306" spans="1:9" x14ac:dyDescent="0.3">
      <c r="A306" s="2" t="s">
        <v>9</v>
      </c>
      <c r="B306" s="2" t="s">
        <v>31</v>
      </c>
      <c r="C306" s="2" t="s">
        <v>8</v>
      </c>
      <c r="D306" s="2">
        <v>1201</v>
      </c>
      <c r="E306" s="2">
        <v>10293</v>
      </c>
      <c r="F306" s="2" t="s">
        <v>30</v>
      </c>
      <c r="G306" s="2" t="s">
        <v>41</v>
      </c>
      <c r="H306" s="15">
        <f t="shared" si="8"/>
        <v>9092</v>
      </c>
      <c r="I306" s="14">
        <f t="shared" si="9"/>
        <v>7.5703580349708579</v>
      </c>
    </row>
    <row r="307" spans="1:9" x14ac:dyDescent="0.3">
      <c r="A307" s="2" t="s">
        <v>33</v>
      </c>
      <c r="B307" s="2" t="s">
        <v>35</v>
      </c>
      <c r="C307" s="2" t="s">
        <v>32</v>
      </c>
      <c r="D307" s="2">
        <v>6342</v>
      </c>
      <c r="E307" s="2">
        <v>8292</v>
      </c>
      <c r="F307" s="2" t="s">
        <v>19</v>
      </c>
      <c r="G307" s="2" t="s">
        <v>41</v>
      </c>
      <c r="H307" s="15">
        <f t="shared" si="8"/>
        <v>1950</v>
      </c>
      <c r="I307" s="14">
        <f t="shared" si="9"/>
        <v>0.30747398297067169</v>
      </c>
    </row>
    <row r="308" spans="1:9" x14ac:dyDescent="0.3">
      <c r="A308" s="2" t="s">
        <v>13</v>
      </c>
      <c r="B308" s="2" t="s">
        <v>25</v>
      </c>
      <c r="C308" s="2" t="s">
        <v>26</v>
      </c>
      <c r="D308" s="2">
        <v>2290</v>
      </c>
      <c r="E308" s="2">
        <v>5281</v>
      </c>
      <c r="F308" s="2" t="s">
        <v>36</v>
      </c>
      <c r="G308" s="2" t="s">
        <v>41</v>
      </c>
      <c r="H308" s="15">
        <f t="shared" si="8"/>
        <v>2991</v>
      </c>
      <c r="I308" s="14">
        <f t="shared" si="9"/>
        <v>1.306113537117904</v>
      </c>
    </row>
    <row r="309" spans="1:9" x14ac:dyDescent="0.3">
      <c r="A309" s="2" t="s">
        <v>13</v>
      </c>
      <c r="B309" s="2" t="s">
        <v>7</v>
      </c>
      <c r="C309" s="2" t="s">
        <v>26</v>
      </c>
      <c r="D309" s="2">
        <v>2009</v>
      </c>
      <c r="E309" s="2">
        <v>2316</v>
      </c>
      <c r="F309" s="2" t="s">
        <v>12</v>
      </c>
      <c r="G309" s="2" t="s">
        <v>41</v>
      </c>
      <c r="H309" s="15">
        <f t="shared" si="8"/>
        <v>307</v>
      </c>
      <c r="I309" s="14">
        <f t="shared" si="9"/>
        <v>0.1528123444499751</v>
      </c>
    </row>
    <row r="310" spans="1:9" x14ac:dyDescent="0.3">
      <c r="A310" s="2" t="s">
        <v>6</v>
      </c>
      <c r="B310" s="2" t="s">
        <v>10</v>
      </c>
      <c r="C310" s="2" t="s">
        <v>20</v>
      </c>
      <c r="D310" s="2">
        <v>1128</v>
      </c>
      <c r="E310" s="2">
        <v>8014</v>
      </c>
      <c r="F310" s="2" t="s">
        <v>15</v>
      </c>
      <c r="G310" s="2" t="s">
        <v>41</v>
      </c>
      <c r="H310" s="15">
        <f t="shared" si="8"/>
        <v>6886</v>
      </c>
      <c r="I310" s="14">
        <f t="shared" si="9"/>
        <v>6.1046099290780145</v>
      </c>
    </row>
    <row r="311" spans="1:9" x14ac:dyDescent="0.3">
      <c r="A311" s="2" t="s">
        <v>16</v>
      </c>
      <c r="B311" s="2" t="s">
        <v>35</v>
      </c>
      <c r="C311" s="2" t="s">
        <v>18</v>
      </c>
      <c r="D311" s="2">
        <v>6923</v>
      </c>
      <c r="E311" s="2">
        <v>11530</v>
      </c>
      <c r="F311" s="2" t="s">
        <v>15</v>
      </c>
      <c r="G311" s="2" t="s">
        <v>41</v>
      </c>
      <c r="H311" s="15">
        <f t="shared" si="8"/>
        <v>4607</v>
      </c>
      <c r="I311" s="14">
        <f t="shared" si="9"/>
        <v>0.66546294958832874</v>
      </c>
    </row>
    <row r="312" spans="1:9" x14ac:dyDescent="0.3">
      <c r="A312" s="2" t="s">
        <v>6</v>
      </c>
      <c r="B312" s="2" t="s">
        <v>7</v>
      </c>
      <c r="C312" s="2" t="s">
        <v>17</v>
      </c>
      <c r="D312" s="2">
        <v>5022</v>
      </c>
      <c r="E312" s="2">
        <v>4266</v>
      </c>
      <c r="F312" s="2" t="s">
        <v>30</v>
      </c>
      <c r="G312" s="2" t="s">
        <v>42</v>
      </c>
      <c r="H312" s="15">
        <f t="shared" si="8"/>
        <v>-756</v>
      </c>
      <c r="I312" s="14">
        <f t="shared" si="9"/>
        <v>-0.15053763440860216</v>
      </c>
    </row>
    <row r="313" spans="1:9" x14ac:dyDescent="0.3">
      <c r="A313" s="2" t="s">
        <v>22</v>
      </c>
      <c r="B313" s="2" t="s">
        <v>23</v>
      </c>
      <c r="C313" s="2" t="s">
        <v>17</v>
      </c>
      <c r="D313" s="2">
        <v>6466</v>
      </c>
      <c r="E313" s="2">
        <v>3570</v>
      </c>
      <c r="F313" s="2" t="s">
        <v>15</v>
      </c>
      <c r="G313" s="2" t="s">
        <v>42</v>
      </c>
      <c r="H313" s="15">
        <f t="shared" si="8"/>
        <v>-2896</v>
      </c>
      <c r="I313" s="14">
        <f t="shared" si="9"/>
        <v>-0.44788122486854315</v>
      </c>
    </row>
    <row r="314" spans="1:9" x14ac:dyDescent="0.3">
      <c r="A314" s="2" t="s">
        <v>9</v>
      </c>
      <c r="B314" s="2" t="s">
        <v>28</v>
      </c>
      <c r="C314" s="2" t="s">
        <v>29</v>
      </c>
      <c r="D314" s="2">
        <v>4810</v>
      </c>
      <c r="E314" s="2">
        <v>5459</v>
      </c>
      <c r="F314" s="2" t="s">
        <v>15</v>
      </c>
      <c r="G314" s="2" t="s">
        <v>41</v>
      </c>
      <c r="H314" s="15">
        <f t="shared" si="8"/>
        <v>649</v>
      </c>
      <c r="I314" s="14">
        <f t="shared" si="9"/>
        <v>0.13492723492723493</v>
      </c>
    </row>
    <row r="315" spans="1:9" x14ac:dyDescent="0.3">
      <c r="A315" s="2" t="s">
        <v>27</v>
      </c>
      <c r="B315" s="2" t="s">
        <v>23</v>
      </c>
      <c r="C315" s="2" t="s">
        <v>20</v>
      </c>
      <c r="D315" s="2">
        <v>7504</v>
      </c>
      <c r="E315" s="2">
        <v>1754</v>
      </c>
      <c r="F315" s="2" t="s">
        <v>30</v>
      </c>
      <c r="G315" s="2" t="s">
        <v>42</v>
      </c>
      <c r="H315" s="15">
        <f t="shared" si="8"/>
        <v>-5750</v>
      </c>
      <c r="I315" s="14">
        <f t="shared" si="9"/>
        <v>-0.76625799573560771</v>
      </c>
    </row>
    <row r="316" spans="1:9" x14ac:dyDescent="0.3">
      <c r="A316" s="2" t="s">
        <v>27</v>
      </c>
      <c r="B316" s="2" t="s">
        <v>35</v>
      </c>
      <c r="C316" s="2" t="s">
        <v>24</v>
      </c>
      <c r="D316" s="2">
        <v>5453</v>
      </c>
      <c r="E316" s="2">
        <v>10878</v>
      </c>
      <c r="F316" s="2" t="s">
        <v>19</v>
      </c>
      <c r="G316" s="2" t="s">
        <v>41</v>
      </c>
      <c r="H316" s="15">
        <f t="shared" si="8"/>
        <v>5425</v>
      </c>
      <c r="I316" s="14">
        <f t="shared" si="9"/>
        <v>0.99486521181001286</v>
      </c>
    </row>
    <row r="317" spans="1:9" x14ac:dyDescent="0.3">
      <c r="A317" s="2" t="s">
        <v>22</v>
      </c>
      <c r="B317" s="2" t="s">
        <v>23</v>
      </c>
      <c r="C317" s="2" t="s">
        <v>29</v>
      </c>
      <c r="D317" s="2">
        <v>5260</v>
      </c>
      <c r="E317" s="2">
        <v>6088</v>
      </c>
      <c r="F317" s="2" t="s">
        <v>19</v>
      </c>
      <c r="G317" s="2" t="s">
        <v>41</v>
      </c>
      <c r="H317" s="15">
        <f t="shared" si="8"/>
        <v>828</v>
      </c>
      <c r="I317" s="14">
        <f t="shared" si="9"/>
        <v>0.15741444866920151</v>
      </c>
    </row>
    <row r="318" spans="1:9" x14ac:dyDescent="0.3">
      <c r="A318" s="2" t="s">
        <v>6</v>
      </c>
      <c r="B318" s="2" t="s">
        <v>7</v>
      </c>
      <c r="C318" s="2" t="s">
        <v>14</v>
      </c>
      <c r="D318" s="2">
        <v>2631</v>
      </c>
      <c r="E318" s="2">
        <v>2807</v>
      </c>
      <c r="F318" s="2" t="s">
        <v>36</v>
      </c>
      <c r="G318" s="2" t="s">
        <v>41</v>
      </c>
      <c r="H318" s="15">
        <f t="shared" si="8"/>
        <v>176</v>
      </c>
      <c r="I318" s="14">
        <f t="shared" si="9"/>
        <v>6.6894716837704302E-2</v>
      </c>
    </row>
    <row r="319" spans="1:9" x14ac:dyDescent="0.3">
      <c r="A319" s="2" t="s">
        <v>16</v>
      </c>
      <c r="B319" s="2" t="s">
        <v>23</v>
      </c>
      <c r="C319" s="2" t="s">
        <v>18</v>
      </c>
      <c r="D319" s="2">
        <v>9503</v>
      </c>
      <c r="E319" s="2">
        <v>9241</v>
      </c>
      <c r="F319" s="2" t="s">
        <v>30</v>
      </c>
      <c r="G319" s="2" t="s">
        <v>42</v>
      </c>
      <c r="H319" s="15">
        <f t="shared" si="8"/>
        <v>-262</v>
      </c>
      <c r="I319" s="14">
        <f t="shared" si="9"/>
        <v>-2.7570240976533725E-2</v>
      </c>
    </row>
    <row r="320" spans="1:9" x14ac:dyDescent="0.3">
      <c r="A320" s="2" t="s">
        <v>9</v>
      </c>
      <c r="B320" s="2" t="s">
        <v>28</v>
      </c>
      <c r="C320" s="2" t="s">
        <v>8</v>
      </c>
      <c r="D320" s="2">
        <v>4136</v>
      </c>
      <c r="E320" s="2">
        <v>4621</v>
      </c>
      <c r="F320" s="2" t="s">
        <v>19</v>
      </c>
      <c r="G320" s="2" t="s">
        <v>41</v>
      </c>
      <c r="H320" s="15">
        <f t="shared" si="8"/>
        <v>485</v>
      </c>
      <c r="I320" s="14">
        <f t="shared" si="9"/>
        <v>0.11726305609284332</v>
      </c>
    </row>
    <row r="321" spans="1:9" x14ac:dyDescent="0.3">
      <c r="A321" s="2" t="s">
        <v>22</v>
      </c>
      <c r="B321" s="2" t="s">
        <v>10</v>
      </c>
      <c r="C321" s="2" t="s">
        <v>17</v>
      </c>
      <c r="D321" s="2">
        <v>2551</v>
      </c>
      <c r="E321" s="2">
        <v>1844</v>
      </c>
      <c r="F321" s="2" t="s">
        <v>12</v>
      </c>
      <c r="G321" s="2" t="s">
        <v>42</v>
      </c>
      <c r="H321" s="15">
        <f t="shared" si="8"/>
        <v>-707</v>
      </c>
      <c r="I321" s="14">
        <f t="shared" si="9"/>
        <v>-0.27714621716973736</v>
      </c>
    </row>
    <row r="322" spans="1:9" x14ac:dyDescent="0.3">
      <c r="A322" s="2" t="s">
        <v>6</v>
      </c>
      <c r="B322" s="2" t="s">
        <v>10</v>
      </c>
      <c r="C322" s="2" t="s">
        <v>17</v>
      </c>
      <c r="D322" s="2">
        <v>8398</v>
      </c>
      <c r="E322" s="2">
        <v>5952</v>
      </c>
      <c r="F322" s="2" t="s">
        <v>30</v>
      </c>
      <c r="G322" s="2" t="s">
        <v>42</v>
      </c>
      <c r="H322" s="15">
        <f t="shared" si="8"/>
        <v>-2446</v>
      </c>
      <c r="I322" s="14">
        <f t="shared" si="9"/>
        <v>-0.29125982376756371</v>
      </c>
    </row>
    <row r="323" spans="1:9" x14ac:dyDescent="0.3">
      <c r="A323" s="2" t="s">
        <v>13</v>
      </c>
      <c r="B323" s="2" t="s">
        <v>35</v>
      </c>
      <c r="C323" s="2" t="s">
        <v>24</v>
      </c>
      <c r="D323" s="2">
        <v>2378</v>
      </c>
      <c r="E323" s="2">
        <v>6606</v>
      </c>
      <c r="F323" s="2" t="s">
        <v>12</v>
      </c>
      <c r="G323" s="2" t="s">
        <v>41</v>
      </c>
      <c r="H323" s="15">
        <f t="shared" ref="H323:H386" si="10">(E323-D323)</f>
        <v>4228</v>
      </c>
      <c r="I323" s="14">
        <f t="shared" ref="I323:I386" si="11">H323/D323</f>
        <v>1.7779646761984862</v>
      </c>
    </row>
    <row r="324" spans="1:9" x14ac:dyDescent="0.3">
      <c r="A324" s="2" t="s">
        <v>9</v>
      </c>
      <c r="B324" s="2" t="s">
        <v>31</v>
      </c>
      <c r="C324" s="2" t="s">
        <v>18</v>
      </c>
      <c r="D324" s="2">
        <v>6800</v>
      </c>
      <c r="E324" s="2">
        <v>3201</v>
      </c>
      <c r="F324" s="2" t="s">
        <v>12</v>
      </c>
      <c r="G324" s="2" t="s">
        <v>42</v>
      </c>
      <c r="H324" s="15">
        <f t="shared" si="10"/>
        <v>-3599</v>
      </c>
      <c r="I324" s="14">
        <f t="shared" si="11"/>
        <v>-0.52926470588235297</v>
      </c>
    </row>
    <row r="325" spans="1:9" x14ac:dyDescent="0.3">
      <c r="A325" s="2" t="s">
        <v>13</v>
      </c>
      <c r="B325" s="2" t="s">
        <v>25</v>
      </c>
      <c r="C325" s="2" t="s">
        <v>26</v>
      </c>
      <c r="D325" s="2">
        <v>6741</v>
      </c>
      <c r="E325" s="2">
        <v>9212</v>
      </c>
      <c r="F325" s="2" t="s">
        <v>19</v>
      </c>
      <c r="G325" s="2" t="s">
        <v>41</v>
      </c>
      <c r="H325" s="15">
        <f t="shared" si="10"/>
        <v>2471</v>
      </c>
      <c r="I325" s="14">
        <f t="shared" si="11"/>
        <v>0.36656282450674976</v>
      </c>
    </row>
    <row r="326" spans="1:9" x14ac:dyDescent="0.3">
      <c r="A326" s="2" t="s">
        <v>22</v>
      </c>
      <c r="B326" s="2" t="s">
        <v>25</v>
      </c>
      <c r="C326" s="2" t="s">
        <v>24</v>
      </c>
      <c r="D326" s="2">
        <v>4869</v>
      </c>
      <c r="E326" s="2">
        <v>1795</v>
      </c>
      <c r="F326" s="2" t="s">
        <v>30</v>
      </c>
      <c r="G326" s="2" t="s">
        <v>42</v>
      </c>
      <c r="H326" s="15">
        <f t="shared" si="10"/>
        <v>-3074</v>
      </c>
      <c r="I326" s="14">
        <f t="shared" si="11"/>
        <v>-0.63134113781063872</v>
      </c>
    </row>
    <row r="327" spans="1:9" x14ac:dyDescent="0.3">
      <c r="A327" s="2" t="s">
        <v>33</v>
      </c>
      <c r="B327" s="2" t="s">
        <v>7</v>
      </c>
      <c r="C327" s="2" t="s">
        <v>8</v>
      </c>
      <c r="D327" s="2">
        <v>7794</v>
      </c>
      <c r="E327" s="2">
        <v>10328</v>
      </c>
      <c r="F327" s="2" t="s">
        <v>12</v>
      </c>
      <c r="G327" s="2" t="s">
        <v>41</v>
      </c>
      <c r="H327" s="15">
        <f t="shared" si="10"/>
        <v>2534</v>
      </c>
      <c r="I327" s="14">
        <f t="shared" si="11"/>
        <v>0.32512188863228125</v>
      </c>
    </row>
    <row r="328" spans="1:9" x14ac:dyDescent="0.3">
      <c r="A328" s="2" t="s">
        <v>27</v>
      </c>
      <c r="B328" s="2" t="s">
        <v>10</v>
      </c>
      <c r="C328" s="2" t="s">
        <v>18</v>
      </c>
      <c r="D328" s="2">
        <v>6725</v>
      </c>
      <c r="E328" s="2">
        <v>11686</v>
      </c>
      <c r="F328" s="2" t="s">
        <v>12</v>
      </c>
      <c r="G328" s="2" t="s">
        <v>41</v>
      </c>
      <c r="H328" s="15">
        <f t="shared" si="10"/>
        <v>4961</v>
      </c>
      <c r="I328" s="14">
        <f t="shared" si="11"/>
        <v>0.7376951672862454</v>
      </c>
    </row>
    <row r="329" spans="1:9" x14ac:dyDescent="0.3">
      <c r="A329" s="2" t="s">
        <v>6</v>
      </c>
      <c r="B329" s="2" t="s">
        <v>25</v>
      </c>
      <c r="C329" s="2" t="s">
        <v>18</v>
      </c>
      <c r="D329" s="2">
        <v>7253</v>
      </c>
      <c r="E329" s="2">
        <v>5984</v>
      </c>
      <c r="F329" s="2" t="s">
        <v>12</v>
      </c>
      <c r="G329" s="2" t="s">
        <v>42</v>
      </c>
      <c r="H329" s="15">
        <f t="shared" si="10"/>
        <v>-1269</v>
      </c>
      <c r="I329" s="14">
        <f t="shared" si="11"/>
        <v>-0.17496208465462568</v>
      </c>
    </row>
    <row r="330" spans="1:9" x14ac:dyDescent="0.3">
      <c r="A330" s="2" t="s">
        <v>6</v>
      </c>
      <c r="B330" s="2" t="s">
        <v>23</v>
      </c>
      <c r="C330" s="2" t="s">
        <v>8</v>
      </c>
      <c r="D330" s="2">
        <v>4402</v>
      </c>
      <c r="E330" s="2">
        <v>11794</v>
      </c>
      <c r="F330" s="2" t="s">
        <v>30</v>
      </c>
      <c r="G330" s="2" t="s">
        <v>41</v>
      </c>
      <c r="H330" s="15">
        <f t="shared" si="10"/>
        <v>7392</v>
      </c>
      <c r="I330" s="14">
        <f t="shared" si="11"/>
        <v>1.6792367105860972</v>
      </c>
    </row>
    <row r="331" spans="1:9" x14ac:dyDescent="0.3">
      <c r="A331" s="2" t="s">
        <v>6</v>
      </c>
      <c r="B331" s="2" t="s">
        <v>35</v>
      </c>
      <c r="C331" s="2" t="s">
        <v>14</v>
      </c>
      <c r="D331" s="2">
        <v>5653</v>
      </c>
      <c r="E331" s="2">
        <v>11818</v>
      </c>
      <c r="F331" s="2" t="s">
        <v>12</v>
      </c>
      <c r="G331" s="2" t="s">
        <v>41</v>
      </c>
      <c r="H331" s="15">
        <f t="shared" si="10"/>
        <v>6165</v>
      </c>
      <c r="I331" s="14">
        <f t="shared" si="11"/>
        <v>1.0905713780293649</v>
      </c>
    </row>
    <row r="332" spans="1:9" x14ac:dyDescent="0.3">
      <c r="A332" s="2" t="s">
        <v>6</v>
      </c>
      <c r="B332" s="2" t="s">
        <v>10</v>
      </c>
      <c r="C332" s="2" t="s">
        <v>32</v>
      </c>
      <c r="D332" s="2">
        <v>4482</v>
      </c>
      <c r="E332" s="2">
        <v>7588</v>
      </c>
      <c r="F332" s="2" t="s">
        <v>12</v>
      </c>
      <c r="G332" s="2" t="s">
        <v>41</v>
      </c>
      <c r="H332" s="15">
        <f t="shared" si="10"/>
        <v>3106</v>
      </c>
      <c r="I332" s="14">
        <f t="shared" si="11"/>
        <v>0.6929941990182954</v>
      </c>
    </row>
    <row r="333" spans="1:9" x14ac:dyDescent="0.3">
      <c r="A333" s="2" t="s">
        <v>16</v>
      </c>
      <c r="B333" s="2" t="s">
        <v>25</v>
      </c>
      <c r="C333" s="2" t="s">
        <v>24</v>
      </c>
      <c r="D333" s="2">
        <v>7993</v>
      </c>
      <c r="E333" s="2">
        <v>10028</v>
      </c>
      <c r="F333" s="2" t="s">
        <v>12</v>
      </c>
      <c r="G333" s="2" t="s">
        <v>41</v>
      </c>
      <c r="H333" s="15">
        <f t="shared" si="10"/>
        <v>2035</v>
      </c>
      <c r="I333" s="14">
        <f t="shared" si="11"/>
        <v>0.25459777305142001</v>
      </c>
    </row>
    <row r="334" spans="1:9" x14ac:dyDescent="0.3">
      <c r="A334" s="2" t="s">
        <v>9</v>
      </c>
      <c r="B334" s="2" t="s">
        <v>28</v>
      </c>
      <c r="C334" s="2" t="s">
        <v>21</v>
      </c>
      <c r="D334" s="2">
        <v>7143</v>
      </c>
      <c r="E334" s="2">
        <v>3972</v>
      </c>
      <c r="F334" s="2" t="s">
        <v>12</v>
      </c>
      <c r="G334" s="2" t="s">
        <v>42</v>
      </c>
      <c r="H334" s="15">
        <f t="shared" si="10"/>
        <v>-3171</v>
      </c>
      <c r="I334" s="14">
        <f t="shared" si="11"/>
        <v>-0.44393112137757246</v>
      </c>
    </row>
    <row r="335" spans="1:9" x14ac:dyDescent="0.3">
      <c r="A335" s="2" t="s">
        <v>27</v>
      </c>
      <c r="B335" s="2" t="s">
        <v>35</v>
      </c>
      <c r="C335" s="2" t="s">
        <v>14</v>
      </c>
      <c r="D335" s="2">
        <v>7206</v>
      </c>
      <c r="E335" s="2">
        <v>1799</v>
      </c>
      <c r="F335" s="2" t="s">
        <v>19</v>
      </c>
      <c r="G335" s="2" t="s">
        <v>42</v>
      </c>
      <c r="H335" s="15">
        <f t="shared" si="10"/>
        <v>-5407</v>
      </c>
      <c r="I335" s="14">
        <f t="shared" si="11"/>
        <v>-0.75034693311129619</v>
      </c>
    </row>
    <row r="336" spans="1:9" x14ac:dyDescent="0.3">
      <c r="A336" s="2" t="s">
        <v>22</v>
      </c>
      <c r="B336" s="2" t="s">
        <v>7</v>
      </c>
      <c r="C336" s="2" t="s">
        <v>8</v>
      </c>
      <c r="D336" s="2">
        <v>3716</v>
      </c>
      <c r="E336" s="2">
        <v>2980</v>
      </c>
      <c r="F336" s="2" t="s">
        <v>12</v>
      </c>
      <c r="G336" s="2" t="s">
        <v>42</v>
      </c>
      <c r="H336" s="15">
        <f t="shared" si="10"/>
        <v>-736</v>
      </c>
      <c r="I336" s="14">
        <f t="shared" si="11"/>
        <v>-0.19806243272335844</v>
      </c>
    </row>
    <row r="337" spans="1:9" x14ac:dyDescent="0.3">
      <c r="A337" s="2" t="s">
        <v>33</v>
      </c>
      <c r="B337" s="2" t="s">
        <v>10</v>
      </c>
      <c r="C337" s="2" t="s">
        <v>32</v>
      </c>
      <c r="D337" s="2">
        <v>1505</v>
      </c>
      <c r="E337" s="2">
        <v>9345</v>
      </c>
      <c r="F337" s="2" t="s">
        <v>30</v>
      </c>
      <c r="G337" s="2" t="s">
        <v>41</v>
      </c>
      <c r="H337" s="15">
        <f t="shared" si="10"/>
        <v>7840</v>
      </c>
      <c r="I337" s="14">
        <f t="shared" si="11"/>
        <v>5.2093023255813957</v>
      </c>
    </row>
    <row r="338" spans="1:9" x14ac:dyDescent="0.3">
      <c r="A338" s="2" t="s">
        <v>27</v>
      </c>
      <c r="B338" s="2" t="s">
        <v>28</v>
      </c>
      <c r="C338" s="2" t="s">
        <v>14</v>
      </c>
      <c r="D338" s="2">
        <v>9273</v>
      </c>
      <c r="E338" s="2">
        <v>8479</v>
      </c>
      <c r="F338" s="2" t="s">
        <v>19</v>
      </c>
      <c r="G338" s="2" t="s">
        <v>42</v>
      </c>
      <c r="H338" s="15">
        <f t="shared" si="10"/>
        <v>-794</v>
      </c>
      <c r="I338" s="14">
        <f t="shared" si="11"/>
        <v>-8.5624932600021575E-2</v>
      </c>
    </row>
    <row r="339" spans="1:9" x14ac:dyDescent="0.3">
      <c r="A339" s="2" t="s">
        <v>9</v>
      </c>
      <c r="B339" s="2" t="s">
        <v>28</v>
      </c>
      <c r="C339" s="2" t="s">
        <v>18</v>
      </c>
      <c r="D339" s="2">
        <v>4778</v>
      </c>
      <c r="E339" s="2">
        <v>4775</v>
      </c>
      <c r="F339" s="2" t="s">
        <v>15</v>
      </c>
      <c r="G339" s="2" t="s">
        <v>42</v>
      </c>
      <c r="H339" s="15">
        <f t="shared" si="10"/>
        <v>-3</v>
      </c>
      <c r="I339" s="14">
        <f t="shared" si="11"/>
        <v>-6.2787777312683132E-4</v>
      </c>
    </row>
    <row r="340" spans="1:9" x14ac:dyDescent="0.3">
      <c r="A340" s="2" t="s">
        <v>13</v>
      </c>
      <c r="B340" s="2" t="s">
        <v>25</v>
      </c>
      <c r="C340" s="2" t="s">
        <v>29</v>
      </c>
      <c r="D340" s="2">
        <v>7568</v>
      </c>
      <c r="E340" s="2">
        <v>10284</v>
      </c>
      <c r="F340" s="2" t="s">
        <v>12</v>
      </c>
      <c r="G340" s="2" t="s">
        <v>41</v>
      </c>
      <c r="H340" s="15">
        <f t="shared" si="10"/>
        <v>2716</v>
      </c>
      <c r="I340" s="14">
        <f t="shared" si="11"/>
        <v>0.35887949260042284</v>
      </c>
    </row>
    <row r="341" spans="1:9" x14ac:dyDescent="0.3">
      <c r="A341" s="2" t="s">
        <v>27</v>
      </c>
      <c r="B341" s="2" t="s">
        <v>10</v>
      </c>
      <c r="C341" s="2" t="s">
        <v>14</v>
      </c>
      <c r="D341" s="2">
        <v>2025</v>
      </c>
      <c r="E341" s="2">
        <v>2472</v>
      </c>
      <c r="F341" s="2" t="s">
        <v>30</v>
      </c>
      <c r="G341" s="2" t="s">
        <v>41</v>
      </c>
      <c r="H341" s="15">
        <f t="shared" si="10"/>
        <v>447</v>
      </c>
      <c r="I341" s="14">
        <f t="shared" si="11"/>
        <v>0.22074074074074074</v>
      </c>
    </row>
    <row r="342" spans="1:9" x14ac:dyDescent="0.3">
      <c r="A342" s="2" t="s">
        <v>33</v>
      </c>
      <c r="B342" s="2" t="s">
        <v>35</v>
      </c>
      <c r="C342" s="2" t="s">
        <v>14</v>
      </c>
      <c r="D342" s="2">
        <v>2779</v>
      </c>
      <c r="E342" s="2">
        <v>10511</v>
      </c>
      <c r="F342" s="2" t="s">
        <v>15</v>
      </c>
      <c r="G342" s="2" t="s">
        <v>41</v>
      </c>
      <c r="H342" s="15">
        <f t="shared" si="10"/>
        <v>7732</v>
      </c>
      <c r="I342" s="14">
        <f t="shared" si="11"/>
        <v>2.7822957898524647</v>
      </c>
    </row>
    <row r="343" spans="1:9" x14ac:dyDescent="0.3">
      <c r="A343" s="2" t="s">
        <v>33</v>
      </c>
      <c r="B343" s="2" t="s">
        <v>23</v>
      </c>
      <c r="C343" s="2" t="s">
        <v>24</v>
      </c>
      <c r="D343" s="2">
        <v>3275</v>
      </c>
      <c r="E343" s="2">
        <v>4780</v>
      </c>
      <c r="F343" s="2" t="s">
        <v>19</v>
      </c>
      <c r="G343" s="2" t="s">
        <v>41</v>
      </c>
      <c r="H343" s="15">
        <f t="shared" si="10"/>
        <v>1505</v>
      </c>
      <c r="I343" s="14">
        <f t="shared" si="11"/>
        <v>0.45954198473282443</v>
      </c>
    </row>
    <row r="344" spans="1:9" x14ac:dyDescent="0.3">
      <c r="A344" s="2" t="s">
        <v>33</v>
      </c>
      <c r="B344" s="2" t="s">
        <v>31</v>
      </c>
      <c r="C344" s="2" t="s">
        <v>29</v>
      </c>
      <c r="D344" s="2">
        <v>8907</v>
      </c>
      <c r="E344" s="2">
        <v>9356</v>
      </c>
      <c r="F344" s="2" t="s">
        <v>15</v>
      </c>
      <c r="G344" s="2" t="s">
        <v>41</v>
      </c>
      <c r="H344" s="15">
        <f t="shared" si="10"/>
        <v>449</v>
      </c>
      <c r="I344" s="14">
        <f t="shared" si="11"/>
        <v>5.0409790052767488E-2</v>
      </c>
    </row>
    <row r="345" spans="1:9" x14ac:dyDescent="0.3">
      <c r="A345" s="2" t="s">
        <v>13</v>
      </c>
      <c r="B345" s="2" t="s">
        <v>25</v>
      </c>
      <c r="C345" s="2" t="s">
        <v>14</v>
      </c>
      <c r="D345" s="2">
        <v>1223</v>
      </c>
      <c r="E345" s="2">
        <v>6966</v>
      </c>
      <c r="F345" s="2" t="s">
        <v>12</v>
      </c>
      <c r="G345" s="2" t="s">
        <v>41</v>
      </c>
      <c r="H345" s="15">
        <f t="shared" si="10"/>
        <v>5743</v>
      </c>
      <c r="I345" s="14">
        <f t="shared" si="11"/>
        <v>4.6958299264104664</v>
      </c>
    </row>
    <row r="346" spans="1:9" x14ac:dyDescent="0.3">
      <c r="A346" s="2" t="s">
        <v>33</v>
      </c>
      <c r="B346" s="2" t="s">
        <v>35</v>
      </c>
      <c r="C346" s="2" t="s">
        <v>8</v>
      </c>
      <c r="D346" s="2">
        <v>6720</v>
      </c>
      <c r="E346" s="2">
        <v>5535</v>
      </c>
      <c r="F346" s="2" t="s">
        <v>15</v>
      </c>
      <c r="G346" s="2" t="s">
        <v>42</v>
      </c>
      <c r="H346" s="15">
        <f t="shared" si="10"/>
        <v>-1185</v>
      </c>
      <c r="I346" s="14">
        <f t="shared" si="11"/>
        <v>-0.17633928571428573</v>
      </c>
    </row>
    <row r="347" spans="1:9" x14ac:dyDescent="0.3">
      <c r="A347" s="2" t="s">
        <v>22</v>
      </c>
      <c r="B347" s="2" t="s">
        <v>7</v>
      </c>
      <c r="C347" s="2" t="s">
        <v>29</v>
      </c>
      <c r="D347" s="2">
        <v>6063</v>
      </c>
      <c r="E347" s="2">
        <v>6709</v>
      </c>
      <c r="F347" s="2" t="s">
        <v>19</v>
      </c>
      <c r="G347" s="2" t="s">
        <v>41</v>
      </c>
      <c r="H347" s="15">
        <f t="shared" si="10"/>
        <v>646</v>
      </c>
      <c r="I347" s="14">
        <f t="shared" si="11"/>
        <v>0.10654791357413822</v>
      </c>
    </row>
    <row r="348" spans="1:9" x14ac:dyDescent="0.3">
      <c r="A348" s="2" t="s">
        <v>27</v>
      </c>
      <c r="B348" s="2" t="s">
        <v>25</v>
      </c>
      <c r="C348" s="2" t="s">
        <v>17</v>
      </c>
      <c r="D348" s="2">
        <v>8814</v>
      </c>
      <c r="E348" s="2">
        <v>5517</v>
      </c>
      <c r="F348" s="2" t="s">
        <v>30</v>
      </c>
      <c r="G348" s="2" t="s">
        <v>42</v>
      </c>
      <c r="H348" s="15">
        <f t="shared" si="10"/>
        <v>-3297</v>
      </c>
      <c r="I348" s="14">
        <f t="shared" si="11"/>
        <v>-0.37406398910823691</v>
      </c>
    </row>
    <row r="349" spans="1:9" x14ac:dyDescent="0.3">
      <c r="A349" s="2" t="s">
        <v>13</v>
      </c>
      <c r="B349" s="2" t="s">
        <v>35</v>
      </c>
      <c r="C349" s="2" t="s">
        <v>18</v>
      </c>
      <c r="D349" s="2">
        <v>4954</v>
      </c>
      <c r="E349" s="2">
        <v>8547</v>
      </c>
      <c r="F349" s="2" t="s">
        <v>15</v>
      </c>
      <c r="G349" s="2" t="s">
        <v>41</v>
      </c>
      <c r="H349" s="15">
        <f t="shared" si="10"/>
        <v>3593</v>
      </c>
      <c r="I349" s="14">
        <f t="shared" si="11"/>
        <v>0.72527250706499802</v>
      </c>
    </row>
    <row r="350" spans="1:9" x14ac:dyDescent="0.3">
      <c r="A350" s="2" t="s">
        <v>13</v>
      </c>
      <c r="B350" s="2" t="s">
        <v>7</v>
      </c>
      <c r="C350" s="2" t="s">
        <v>18</v>
      </c>
      <c r="D350" s="2">
        <v>6124</v>
      </c>
      <c r="E350" s="2">
        <v>3846</v>
      </c>
      <c r="F350" s="2" t="s">
        <v>30</v>
      </c>
      <c r="G350" s="2" t="s">
        <v>42</v>
      </c>
      <c r="H350" s="15">
        <f t="shared" si="10"/>
        <v>-2278</v>
      </c>
      <c r="I350" s="14">
        <f t="shared" si="11"/>
        <v>-0.37197909862834749</v>
      </c>
    </row>
    <row r="351" spans="1:9" x14ac:dyDescent="0.3">
      <c r="A351" s="2" t="s">
        <v>6</v>
      </c>
      <c r="B351" s="2" t="s">
        <v>28</v>
      </c>
      <c r="C351" s="2" t="s">
        <v>34</v>
      </c>
      <c r="D351" s="2">
        <v>7464</v>
      </c>
      <c r="E351" s="2">
        <v>3007</v>
      </c>
      <c r="F351" s="2" t="s">
        <v>19</v>
      </c>
      <c r="G351" s="2" t="s">
        <v>42</v>
      </c>
      <c r="H351" s="15">
        <f t="shared" si="10"/>
        <v>-4457</v>
      </c>
      <c r="I351" s="14">
        <f t="shared" si="11"/>
        <v>-0.59713290460878887</v>
      </c>
    </row>
    <row r="352" spans="1:9" x14ac:dyDescent="0.3">
      <c r="A352" s="2" t="s">
        <v>13</v>
      </c>
      <c r="B352" s="2" t="s">
        <v>25</v>
      </c>
      <c r="C352" s="2" t="s">
        <v>18</v>
      </c>
      <c r="D352" s="2">
        <v>1530</v>
      </c>
      <c r="E352" s="2">
        <v>1888</v>
      </c>
      <c r="F352" s="2" t="s">
        <v>30</v>
      </c>
      <c r="G352" s="2" t="s">
        <v>41</v>
      </c>
      <c r="H352" s="15">
        <f t="shared" si="10"/>
        <v>358</v>
      </c>
      <c r="I352" s="14">
        <f t="shared" si="11"/>
        <v>0.23398692810457516</v>
      </c>
    </row>
    <row r="353" spans="1:9" x14ac:dyDescent="0.3">
      <c r="A353" s="2" t="s">
        <v>13</v>
      </c>
      <c r="B353" s="2" t="s">
        <v>10</v>
      </c>
      <c r="C353" s="2" t="s">
        <v>24</v>
      </c>
      <c r="D353" s="2">
        <v>5043</v>
      </c>
      <c r="E353" s="2">
        <v>6765</v>
      </c>
      <c r="F353" s="2" t="s">
        <v>19</v>
      </c>
      <c r="G353" s="2" t="s">
        <v>41</v>
      </c>
      <c r="H353" s="15">
        <f t="shared" si="10"/>
        <v>1722</v>
      </c>
      <c r="I353" s="14">
        <f t="shared" si="11"/>
        <v>0.34146341463414637</v>
      </c>
    </row>
    <row r="354" spans="1:9" x14ac:dyDescent="0.3">
      <c r="A354" s="2" t="s">
        <v>33</v>
      </c>
      <c r="B354" s="2" t="s">
        <v>31</v>
      </c>
      <c r="C354" s="2" t="s">
        <v>32</v>
      </c>
      <c r="D354" s="2">
        <v>5212</v>
      </c>
      <c r="E354" s="2">
        <v>886</v>
      </c>
      <c r="F354" s="2" t="s">
        <v>12</v>
      </c>
      <c r="G354" s="2" t="s">
        <v>42</v>
      </c>
      <c r="H354" s="15">
        <f t="shared" si="10"/>
        <v>-4326</v>
      </c>
      <c r="I354" s="14">
        <f t="shared" si="11"/>
        <v>-0.83000767459708369</v>
      </c>
    </row>
    <row r="355" spans="1:9" x14ac:dyDescent="0.3">
      <c r="A355" s="2" t="s">
        <v>27</v>
      </c>
      <c r="B355" s="2" t="s">
        <v>35</v>
      </c>
      <c r="C355" s="2" t="s">
        <v>29</v>
      </c>
      <c r="D355" s="2">
        <v>5263</v>
      </c>
      <c r="E355" s="2">
        <v>10592</v>
      </c>
      <c r="F355" s="2" t="s">
        <v>30</v>
      </c>
      <c r="G355" s="2" t="s">
        <v>41</v>
      </c>
      <c r="H355" s="15">
        <f t="shared" si="10"/>
        <v>5329</v>
      </c>
      <c r="I355" s="14">
        <f t="shared" si="11"/>
        <v>1.0125403762112863</v>
      </c>
    </row>
    <row r="356" spans="1:9" x14ac:dyDescent="0.3">
      <c r="A356" s="2" t="s">
        <v>6</v>
      </c>
      <c r="B356" s="2" t="s">
        <v>23</v>
      </c>
      <c r="C356" s="2" t="s">
        <v>32</v>
      </c>
      <c r="D356" s="2">
        <v>2761</v>
      </c>
      <c r="E356" s="2">
        <v>11721</v>
      </c>
      <c r="F356" s="2" t="s">
        <v>30</v>
      </c>
      <c r="G356" s="2" t="s">
        <v>41</v>
      </c>
      <c r="H356" s="15">
        <f t="shared" si="10"/>
        <v>8960</v>
      </c>
      <c r="I356" s="14">
        <f t="shared" si="11"/>
        <v>3.2452010141253167</v>
      </c>
    </row>
    <row r="357" spans="1:9" x14ac:dyDescent="0.3">
      <c r="A357" s="2" t="s">
        <v>13</v>
      </c>
      <c r="B357" s="2" t="s">
        <v>7</v>
      </c>
      <c r="C357" s="2" t="s">
        <v>21</v>
      </c>
      <c r="D357" s="2">
        <v>9834</v>
      </c>
      <c r="E357" s="2">
        <v>7574</v>
      </c>
      <c r="F357" s="2" t="s">
        <v>36</v>
      </c>
      <c r="G357" s="2" t="s">
        <v>42</v>
      </c>
      <c r="H357" s="15">
        <f t="shared" si="10"/>
        <v>-2260</v>
      </c>
      <c r="I357" s="14">
        <f t="shared" si="11"/>
        <v>-0.22981492780150498</v>
      </c>
    </row>
    <row r="358" spans="1:9" x14ac:dyDescent="0.3">
      <c r="A358" s="2" t="s">
        <v>22</v>
      </c>
      <c r="B358" s="2" t="s">
        <v>23</v>
      </c>
      <c r="C358" s="2" t="s">
        <v>26</v>
      </c>
      <c r="D358" s="2">
        <v>5131</v>
      </c>
      <c r="E358" s="2">
        <v>1962</v>
      </c>
      <c r="F358" s="2" t="s">
        <v>30</v>
      </c>
      <c r="G358" s="2" t="s">
        <v>42</v>
      </c>
      <c r="H358" s="15">
        <f t="shared" si="10"/>
        <v>-3169</v>
      </c>
      <c r="I358" s="14">
        <f t="shared" si="11"/>
        <v>-0.61761839797310469</v>
      </c>
    </row>
    <row r="359" spans="1:9" x14ac:dyDescent="0.3">
      <c r="A359" s="2" t="s">
        <v>33</v>
      </c>
      <c r="B359" s="2" t="s">
        <v>35</v>
      </c>
      <c r="C359" s="2" t="s">
        <v>11</v>
      </c>
      <c r="D359" s="2">
        <v>8699</v>
      </c>
      <c r="E359" s="2">
        <v>4309</v>
      </c>
      <c r="F359" s="2" t="s">
        <v>30</v>
      </c>
      <c r="G359" s="2" t="s">
        <v>42</v>
      </c>
      <c r="H359" s="15">
        <f t="shared" si="10"/>
        <v>-4390</v>
      </c>
      <c r="I359" s="14">
        <f t="shared" si="11"/>
        <v>-0.50465570755259226</v>
      </c>
    </row>
    <row r="360" spans="1:9" x14ac:dyDescent="0.3">
      <c r="A360" s="2" t="s">
        <v>16</v>
      </c>
      <c r="B360" s="2" t="s">
        <v>7</v>
      </c>
      <c r="C360" s="2" t="s">
        <v>32</v>
      </c>
      <c r="D360" s="2">
        <v>6761</v>
      </c>
      <c r="E360" s="2">
        <v>10879</v>
      </c>
      <c r="F360" s="2" t="s">
        <v>15</v>
      </c>
      <c r="G360" s="2" t="s">
        <v>41</v>
      </c>
      <c r="H360" s="15">
        <f t="shared" si="10"/>
        <v>4118</v>
      </c>
      <c r="I360" s="14">
        <f t="shared" si="11"/>
        <v>0.60908149681999701</v>
      </c>
    </row>
    <row r="361" spans="1:9" x14ac:dyDescent="0.3">
      <c r="A361" s="2" t="s">
        <v>16</v>
      </c>
      <c r="B361" s="2" t="s">
        <v>10</v>
      </c>
      <c r="C361" s="2" t="s">
        <v>17</v>
      </c>
      <c r="D361" s="2">
        <v>6598</v>
      </c>
      <c r="E361" s="2">
        <v>1004</v>
      </c>
      <c r="F361" s="2" t="s">
        <v>19</v>
      </c>
      <c r="G361" s="2" t="s">
        <v>42</v>
      </c>
      <c r="H361" s="15">
        <f t="shared" si="10"/>
        <v>-5594</v>
      </c>
      <c r="I361" s="14">
        <f t="shared" si="11"/>
        <v>-0.84783267656865713</v>
      </c>
    </row>
    <row r="362" spans="1:9" x14ac:dyDescent="0.3">
      <c r="A362" s="2" t="s">
        <v>22</v>
      </c>
      <c r="B362" s="2" t="s">
        <v>28</v>
      </c>
      <c r="C362" s="2" t="s">
        <v>18</v>
      </c>
      <c r="D362" s="2">
        <v>9414</v>
      </c>
      <c r="E362" s="2">
        <v>10157</v>
      </c>
      <c r="F362" s="2" t="s">
        <v>15</v>
      </c>
      <c r="G362" s="2" t="s">
        <v>41</v>
      </c>
      <c r="H362" s="15">
        <f t="shared" si="10"/>
        <v>743</v>
      </c>
      <c r="I362" s="14">
        <f t="shared" si="11"/>
        <v>7.8925005311238583E-2</v>
      </c>
    </row>
    <row r="363" spans="1:9" x14ac:dyDescent="0.3">
      <c r="A363" s="2" t="s">
        <v>13</v>
      </c>
      <c r="B363" s="2" t="s">
        <v>7</v>
      </c>
      <c r="C363" s="2" t="s">
        <v>21</v>
      </c>
      <c r="D363" s="2">
        <v>6959</v>
      </c>
      <c r="E363" s="2">
        <v>7117</v>
      </c>
      <c r="F363" s="2" t="s">
        <v>12</v>
      </c>
      <c r="G363" s="2" t="s">
        <v>41</v>
      </c>
      <c r="H363" s="15">
        <f t="shared" si="10"/>
        <v>158</v>
      </c>
      <c r="I363" s="14">
        <f t="shared" si="11"/>
        <v>2.2704411553384107E-2</v>
      </c>
    </row>
    <row r="364" spans="1:9" x14ac:dyDescent="0.3">
      <c r="A364" s="2" t="s">
        <v>6</v>
      </c>
      <c r="B364" s="2" t="s">
        <v>28</v>
      </c>
      <c r="C364" s="2" t="s">
        <v>26</v>
      </c>
      <c r="D364" s="2">
        <v>5843</v>
      </c>
      <c r="E364" s="2">
        <v>2609</v>
      </c>
      <c r="F364" s="2" t="s">
        <v>19</v>
      </c>
      <c r="G364" s="2" t="s">
        <v>42</v>
      </c>
      <c r="H364" s="15">
        <f t="shared" si="10"/>
        <v>-3234</v>
      </c>
      <c r="I364" s="14">
        <f t="shared" si="11"/>
        <v>-0.55348279993154204</v>
      </c>
    </row>
    <row r="365" spans="1:9" x14ac:dyDescent="0.3">
      <c r="A365" s="2" t="s">
        <v>33</v>
      </c>
      <c r="B365" s="2" t="s">
        <v>28</v>
      </c>
      <c r="C365" s="2" t="s">
        <v>18</v>
      </c>
      <c r="D365" s="2">
        <v>9347</v>
      </c>
      <c r="E365" s="2">
        <v>2852</v>
      </c>
      <c r="F365" s="2" t="s">
        <v>15</v>
      </c>
      <c r="G365" s="2" t="s">
        <v>42</v>
      </c>
      <c r="H365" s="15">
        <f t="shared" si="10"/>
        <v>-6495</v>
      </c>
      <c r="I365" s="14">
        <f t="shared" si="11"/>
        <v>-0.69487536107842085</v>
      </c>
    </row>
    <row r="366" spans="1:9" x14ac:dyDescent="0.3">
      <c r="A366" s="2" t="s">
        <v>22</v>
      </c>
      <c r="B366" s="2" t="s">
        <v>35</v>
      </c>
      <c r="C366" s="2" t="s">
        <v>8</v>
      </c>
      <c r="D366" s="2">
        <v>1986</v>
      </c>
      <c r="E366" s="2">
        <v>5673</v>
      </c>
      <c r="F366" s="2" t="s">
        <v>30</v>
      </c>
      <c r="G366" s="2" t="s">
        <v>41</v>
      </c>
      <c r="H366" s="15">
        <f t="shared" si="10"/>
        <v>3687</v>
      </c>
      <c r="I366" s="14">
        <f t="shared" si="11"/>
        <v>1.8564954682779455</v>
      </c>
    </row>
    <row r="367" spans="1:9" x14ac:dyDescent="0.3">
      <c r="A367" s="2" t="s">
        <v>33</v>
      </c>
      <c r="B367" s="2" t="s">
        <v>35</v>
      </c>
      <c r="C367" s="2" t="s">
        <v>8</v>
      </c>
      <c r="D367" s="2">
        <v>9305</v>
      </c>
      <c r="E367" s="2">
        <v>8197</v>
      </c>
      <c r="F367" s="2" t="s">
        <v>15</v>
      </c>
      <c r="G367" s="2" t="s">
        <v>42</v>
      </c>
      <c r="H367" s="15">
        <f t="shared" si="10"/>
        <v>-1108</v>
      </c>
      <c r="I367" s="14">
        <f t="shared" si="11"/>
        <v>-0.11907576571735626</v>
      </c>
    </row>
    <row r="368" spans="1:9" x14ac:dyDescent="0.3">
      <c r="A368" s="2" t="s">
        <v>9</v>
      </c>
      <c r="B368" s="2" t="s">
        <v>25</v>
      </c>
      <c r="C368" s="2" t="s">
        <v>18</v>
      </c>
      <c r="D368" s="2">
        <v>3396</v>
      </c>
      <c r="E368" s="2">
        <v>9280</v>
      </c>
      <c r="F368" s="2" t="s">
        <v>15</v>
      </c>
      <c r="G368" s="2" t="s">
        <v>41</v>
      </c>
      <c r="H368" s="15">
        <f t="shared" si="10"/>
        <v>5884</v>
      </c>
      <c r="I368" s="14">
        <f t="shared" si="11"/>
        <v>1.7326266195524147</v>
      </c>
    </row>
    <row r="369" spans="1:9" x14ac:dyDescent="0.3">
      <c r="A369" s="2" t="s">
        <v>6</v>
      </c>
      <c r="B369" s="2" t="s">
        <v>28</v>
      </c>
      <c r="C369" s="2" t="s">
        <v>34</v>
      </c>
      <c r="D369" s="2">
        <v>8334</v>
      </c>
      <c r="E369" s="2">
        <v>1976</v>
      </c>
      <c r="F369" s="2" t="s">
        <v>15</v>
      </c>
      <c r="G369" s="2" t="s">
        <v>42</v>
      </c>
      <c r="H369" s="15">
        <f t="shared" si="10"/>
        <v>-6358</v>
      </c>
      <c r="I369" s="14">
        <f t="shared" si="11"/>
        <v>-0.76289896808255342</v>
      </c>
    </row>
    <row r="370" spans="1:9" x14ac:dyDescent="0.3">
      <c r="A370" s="2" t="s">
        <v>13</v>
      </c>
      <c r="B370" s="2" t="s">
        <v>28</v>
      </c>
      <c r="C370" s="2" t="s">
        <v>8</v>
      </c>
      <c r="D370" s="2">
        <v>6860</v>
      </c>
      <c r="E370" s="2">
        <v>1653</v>
      </c>
      <c r="F370" s="2" t="s">
        <v>15</v>
      </c>
      <c r="G370" s="2" t="s">
        <v>42</v>
      </c>
      <c r="H370" s="15">
        <f t="shared" si="10"/>
        <v>-5207</v>
      </c>
      <c r="I370" s="14">
        <f t="shared" si="11"/>
        <v>-0.75903790087463552</v>
      </c>
    </row>
    <row r="371" spans="1:9" x14ac:dyDescent="0.3">
      <c r="A371" s="2" t="s">
        <v>13</v>
      </c>
      <c r="B371" s="2" t="s">
        <v>23</v>
      </c>
      <c r="C371" s="2" t="s">
        <v>14</v>
      </c>
      <c r="D371" s="2">
        <v>1074</v>
      </c>
      <c r="E371" s="2">
        <v>9933</v>
      </c>
      <c r="F371" s="2" t="s">
        <v>19</v>
      </c>
      <c r="G371" s="2" t="s">
        <v>41</v>
      </c>
      <c r="H371" s="15">
        <f t="shared" si="10"/>
        <v>8859</v>
      </c>
      <c r="I371" s="14">
        <f t="shared" si="11"/>
        <v>8.2486033519553068</v>
      </c>
    </row>
    <row r="372" spans="1:9" x14ac:dyDescent="0.3">
      <c r="A372" s="2" t="s">
        <v>13</v>
      </c>
      <c r="B372" s="2" t="s">
        <v>31</v>
      </c>
      <c r="C372" s="2" t="s">
        <v>29</v>
      </c>
      <c r="D372" s="2">
        <v>9798</v>
      </c>
      <c r="E372" s="2">
        <v>5795</v>
      </c>
      <c r="F372" s="2" t="s">
        <v>36</v>
      </c>
      <c r="G372" s="2" t="s">
        <v>42</v>
      </c>
      <c r="H372" s="15">
        <f t="shared" si="10"/>
        <v>-4003</v>
      </c>
      <c r="I372" s="14">
        <f t="shared" si="11"/>
        <v>-0.40855276587058581</v>
      </c>
    </row>
    <row r="373" spans="1:9" x14ac:dyDescent="0.3">
      <c r="A373" s="2" t="s">
        <v>27</v>
      </c>
      <c r="B373" s="2" t="s">
        <v>10</v>
      </c>
      <c r="C373" s="2" t="s">
        <v>29</v>
      </c>
      <c r="D373" s="2">
        <v>2247</v>
      </c>
      <c r="E373" s="2">
        <v>1405</v>
      </c>
      <c r="F373" s="2" t="s">
        <v>19</v>
      </c>
      <c r="G373" s="2" t="s">
        <v>42</v>
      </c>
      <c r="H373" s="15">
        <f t="shared" si="10"/>
        <v>-842</v>
      </c>
      <c r="I373" s="14">
        <f t="shared" si="11"/>
        <v>-0.37472185135736535</v>
      </c>
    </row>
    <row r="374" spans="1:9" x14ac:dyDescent="0.3">
      <c r="A374" s="2" t="s">
        <v>33</v>
      </c>
      <c r="B374" s="2" t="s">
        <v>28</v>
      </c>
      <c r="C374" s="2" t="s">
        <v>17</v>
      </c>
      <c r="D374" s="2">
        <v>7041</v>
      </c>
      <c r="E374" s="2">
        <v>11306</v>
      </c>
      <c r="F374" s="2" t="s">
        <v>12</v>
      </c>
      <c r="G374" s="2" t="s">
        <v>41</v>
      </c>
      <c r="H374" s="15">
        <f t="shared" si="10"/>
        <v>4265</v>
      </c>
      <c r="I374" s="14">
        <f t="shared" si="11"/>
        <v>0.60573782133219711</v>
      </c>
    </row>
    <row r="375" spans="1:9" x14ac:dyDescent="0.3">
      <c r="A375" s="2" t="s">
        <v>13</v>
      </c>
      <c r="B375" s="2" t="s">
        <v>35</v>
      </c>
      <c r="C375" s="2" t="s">
        <v>14</v>
      </c>
      <c r="D375" s="2">
        <v>4141</v>
      </c>
      <c r="E375" s="2">
        <v>4841</v>
      </c>
      <c r="F375" s="2" t="s">
        <v>30</v>
      </c>
      <c r="G375" s="2" t="s">
        <v>41</v>
      </c>
      <c r="H375" s="15">
        <f t="shared" si="10"/>
        <v>700</v>
      </c>
      <c r="I375" s="14">
        <f t="shared" si="11"/>
        <v>0.16904129437333978</v>
      </c>
    </row>
    <row r="376" spans="1:9" x14ac:dyDescent="0.3">
      <c r="A376" s="2" t="s">
        <v>9</v>
      </c>
      <c r="B376" s="2" t="s">
        <v>31</v>
      </c>
      <c r="C376" s="2" t="s">
        <v>29</v>
      </c>
      <c r="D376" s="2">
        <v>5574</v>
      </c>
      <c r="E376" s="2">
        <v>3718</v>
      </c>
      <c r="F376" s="2" t="s">
        <v>36</v>
      </c>
      <c r="G376" s="2" t="s">
        <v>42</v>
      </c>
      <c r="H376" s="15">
        <f t="shared" si="10"/>
        <v>-1856</v>
      </c>
      <c r="I376" s="14">
        <f t="shared" si="11"/>
        <v>-0.33297452457839971</v>
      </c>
    </row>
    <row r="377" spans="1:9" x14ac:dyDescent="0.3">
      <c r="A377" s="2" t="s">
        <v>13</v>
      </c>
      <c r="B377" s="2" t="s">
        <v>28</v>
      </c>
      <c r="C377" s="2" t="s">
        <v>29</v>
      </c>
      <c r="D377" s="2">
        <v>4501</v>
      </c>
      <c r="E377" s="2">
        <v>7447</v>
      </c>
      <c r="F377" s="2" t="s">
        <v>15</v>
      </c>
      <c r="G377" s="2" t="s">
        <v>41</v>
      </c>
      <c r="H377" s="15">
        <f t="shared" si="10"/>
        <v>2946</v>
      </c>
      <c r="I377" s="14">
        <f t="shared" si="11"/>
        <v>0.65452121750722059</v>
      </c>
    </row>
    <row r="378" spans="1:9" x14ac:dyDescent="0.3">
      <c r="A378" s="2" t="s">
        <v>9</v>
      </c>
      <c r="B378" s="2" t="s">
        <v>28</v>
      </c>
      <c r="C378" s="2" t="s">
        <v>18</v>
      </c>
      <c r="D378" s="2">
        <v>7364</v>
      </c>
      <c r="E378" s="2">
        <v>2439</v>
      </c>
      <c r="F378" s="2" t="s">
        <v>36</v>
      </c>
      <c r="G378" s="2" t="s">
        <v>42</v>
      </c>
      <c r="H378" s="15">
        <f t="shared" si="10"/>
        <v>-4925</v>
      </c>
      <c r="I378" s="14">
        <f t="shared" si="11"/>
        <v>-0.66879413362303097</v>
      </c>
    </row>
    <row r="379" spans="1:9" x14ac:dyDescent="0.3">
      <c r="A379" s="2" t="s">
        <v>16</v>
      </c>
      <c r="B379" s="2" t="s">
        <v>28</v>
      </c>
      <c r="C379" s="2" t="s">
        <v>26</v>
      </c>
      <c r="D379" s="2">
        <v>4512</v>
      </c>
      <c r="E379" s="2">
        <v>11544</v>
      </c>
      <c r="F379" s="2" t="s">
        <v>36</v>
      </c>
      <c r="G379" s="2" t="s">
        <v>41</v>
      </c>
      <c r="H379" s="15">
        <f t="shared" si="10"/>
        <v>7032</v>
      </c>
      <c r="I379" s="14">
        <f t="shared" si="11"/>
        <v>1.5585106382978724</v>
      </c>
    </row>
    <row r="380" spans="1:9" x14ac:dyDescent="0.3">
      <c r="A380" s="2" t="s">
        <v>6</v>
      </c>
      <c r="B380" s="2" t="s">
        <v>10</v>
      </c>
      <c r="C380" s="2" t="s">
        <v>18</v>
      </c>
      <c r="D380" s="2">
        <v>4578</v>
      </c>
      <c r="E380" s="2">
        <v>7320</v>
      </c>
      <c r="F380" s="2" t="s">
        <v>12</v>
      </c>
      <c r="G380" s="2" t="s">
        <v>41</v>
      </c>
      <c r="H380" s="15">
        <f t="shared" si="10"/>
        <v>2742</v>
      </c>
      <c r="I380" s="14">
        <f t="shared" si="11"/>
        <v>0.59895150720838797</v>
      </c>
    </row>
    <row r="381" spans="1:9" x14ac:dyDescent="0.3">
      <c r="A381" s="2" t="s">
        <v>22</v>
      </c>
      <c r="B381" s="2" t="s">
        <v>28</v>
      </c>
      <c r="C381" s="2" t="s">
        <v>20</v>
      </c>
      <c r="D381" s="2">
        <v>8709</v>
      </c>
      <c r="E381" s="2">
        <v>8113</v>
      </c>
      <c r="F381" s="2" t="s">
        <v>36</v>
      </c>
      <c r="G381" s="2" t="s">
        <v>42</v>
      </c>
      <c r="H381" s="15">
        <f t="shared" si="10"/>
        <v>-596</v>
      </c>
      <c r="I381" s="14">
        <f t="shared" si="11"/>
        <v>-6.8434952348145603E-2</v>
      </c>
    </row>
    <row r="382" spans="1:9" x14ac:dyDescent="0.3">
      <c r="A382" s="2" t="s">
        <v>16</v>
      </c>
      <c r="B382" s="2" t="s">
        <v>23</v>
      </c>
      <c r="C382" s="2" t="s">
        <v>11</v>
      </c>
      <c r="D382" s="2">
        <v>3364</v>
      </c>
      <c r="E382" s="2">
        <v>9264</v>
      </c>
      <c r="F382" s="2" t="s">
        <v>19</v>
      </c>
      <c r="G382" s="2" t="s">
        <v>41</v>
      </c>
      <c r="H382" s="15">
        <f t="shared" si="10"/>
        <v>5900</v>
      </c>
      <c r="I382" s="14">
        <f t="shared" si="11"/>
        <v>1.7538644470868014</v>
      </c>
    </row>
    <row r="383" spans="1:9" x14ac:dyDescent="0.3">
      <c r="A383" s="2" t="s">
        <v>33</v>
      </c>
      <c r="B383" s="2" t="s">
        <v>35</v>
      </c>
      <c r="C383" s="2" t="s">
        <v>26</v>
      </c>
      <c r="D383" s="2">
        <v>2367</v>
      </c>
      <c r="E383" s="2">
        <v>5740</v>
      </c>
      <c r="F383" s="2" t="s">
        <v>15</v>
      </c>
      <c r="G383" s="2" t="s">
        <v>41</v>
      </c>
      <c r="H383" s="15">
        <f t="shared" si="10"/>
        <v>3373</v>
      </c>
      <c r="I383" s="14">
        <f t="shared" si="11"/>
        <v>1.4250105618926912</v>
      </c>
    </row>
    <row r="384" spans="1:9" x14ac:dyDescent="0.3">
      <c r="A384" s="2" t="s">
        <v>13</v>
      </c>
      <c r="B384" s="2" t="s">
        <v>31</v>
      </c>
      <c r="C384" s="2" t="s">
        <v>26</v>
      </c>
      <c r="D384" s="2">
        <v>3071</v>
      </c>
      <c r="E384" s="2">
        <v>1281</v>
      </c>
      <c r="F384" s="2" t="s">
        <v>30</v>
      </c>
      <c r="G384" s="2" t="s">
        <v>42</v>
      </c>
      <c r="H384" s="15">
        <f t="shared" si="10"/>
        <v>-1790</v>
      </c>
      <c r="I384" s="14">
        <f t="shared" si="11"/>
        <v>-0.58287202865516119</v>
      </c>
    </row>
    <row r="385" spans="1:9" x14ac:dyDescent="0.3">
      <c r="A385" s="2" t="s">
        <v>6</v>
      </c>
      <c r="B385" s="2" t="s">
        <v>10</v>
      </c>
      <c r="C385" s="2" t="s">
        <v>18</v>
      </c>
      <c r="D385" s="2">
        <v>4497</v>
      </c>
      <c r="E385" s="2">
        <v>4909</v>
      </c>
      <c r="F385" s="2" t="s">
        <v>36</v>
      </c>
      <c r="G385" s="2" t="s">
        <v>41</v>
      </c>
      <c r="H385" s="15">
        <f t="shared" si="10"/>
        <v>412</v>
      </c>
      <c r="I385" s="14">
        <f t="shared" si="11"/>
        <v>9.161663331109629E-2</v>
      </c>
    </row>
    <row r="386" spans="1:9" x14ac:dyDescent="0.3">
      <c r="A386" s="2" t="s">
        <v>22</v>
      </c>
      <c r="B386" s="2" t="s">
        <v>31</v>
      </c>
      <c r="C386" s="2" t="s">
        <v>11</v>
      </c>
      <c r="D386" s="2">
        <v>1322</v>
      </c>
      <c r="E386" s="2">
        <v>6535</v>
      </c>
      <c r="F386" s="2" t="s">
        <v>30</v>
      </c>
      <c r="G386" s="2" t="s">
        <v>41</v>
      </c>
      <c r="H386" s="15">
        <f t="shared" si="10"/>
        <v>5213</v>
      </c>
      <c r="I386" s="14">
        <f t="shared" si="11"/>
        <v>3.9432677760968229</v>
      </c>
    </row>
    <row r="387" spans="1:9" x14ac:dyDescent="0.3">
      <c r="A387" s="2" t="s">
        <v>6</v>
      </c>
      <c r="B387" s="2" t="s">
        <v>31</v>
      </c>
      <c r="C387" s="2" t="s">
        <v>18</v>
      </c>
      <c r="D387" s="2">
        <v>4410</v>
      </c>
      <c r="E387" s="2">
        <v>4320</v>
      </c>
      <c r="F387" s="2" t="s">
        <v>36</v>
      </c>
      <c r="G387" s="2" t="s">
        <v>42</v>
      </c>
      <c r="H387" s="15">
        <f t="shared" ref="H387:H450" si="12">(E387-D387)</f>
        <v>-90</v>
      </c>
      <c r="I387" s="14">
        <f t="shared" ref="I387:I450" si="13">H387/D387</f>
        <v>-2.0408163265306121E-2</v>
      </c>
    </row>
    <row r="388" spans="1:9" x14ac:dyDescent="0.3">
      <c r="A388" s="2" t="s">
        <v>9</v>
      </c>
      <c r="B388" s="2" t="s">
        <v>7</v>
      </c>
      <c r="C388" s="2" t="s">
        <v>26</v>
      </c>
      <c r="D388" s="2">
        <v>6712</v>
      </c>
      <c r="E388" s="2">
        <v>5878</v>
      </c>
      <c r="F388" s="2" t="s">
        <v>36</v>
      </c>
      <c r="G388" s="2" t="s">
        <v>42</v>
      </c>
      <c r="H388" s="15">
        <f t="shared" si="12"/>
        <v>-834</v>
      </c>
      <c r="I388" s="14">
        <f t="shared" si="13"/>
        <v>-0.12425506555423123</v>
      </c>
    </row>
    <row r="389" spans="1:9" x14ac:dyDescent="0.3">
      <c r="A389" s="2" t="s">
        <v>33</v>
      </c>
      <c r="B389" s="2" t="s">
        <v>28</v>
      </c>
      <c r="C389" s="2" t="s">
        <v>17</v>
      </c>
      <c r="D389" s="2">
        <v>8485</v>
      </c>
      <c r="E389" s="2">
        <v>1677</v>
      </c>
      <c r="F389" s="2" t="s">
        <v>30</v>
      </c>
      <c r="G389" s="2" t="s">
        <v>42</v>
      </c>
      <c r="H389" s="15">
        <f t="shared" si="12"/>
        <v>-6808</v>
      </c>
      <c r="I389" s="14">
        <f t="shared" si="13"/>
        <v>-0.80235710076605771</v>
      </c>
    </row>
    <row r="390" spans="1:9" x14ac:dyDescent="0.3">
      <c r="A390" s="2" t="s">
        <v>27</v>
      </c>
      <c r="B390" s="2" t="s">
        <v>31</v>
      </c>
      <c r="C390" s="2" t="s">
        <v>29</v>
      </c>
      <c r="D390" s="2">
        <v>7732</v>
      </c>
      <c r="E390" s="2">
        <v>2764</v>
      </c>
      <c r="F390" s="2" t="s">
        <v>19</v>
      </c>
      <c r="G390" s="2" t="s">
        <v>42</v>
      </c>
      <c r="H390" s="15">
        <f t="shared" si="12"/>
        <v>-4968</v>
      </c>
      <c r="I390" s="14">
        <f t="shared" si="13"/>
        <v>-0.64252457320227629</v>
      </c>
    </row>
    <row r="391" spans="1:9" x14ac:dyDescent="0.3">
      <c r="A391" s="2" t="s">
        <v>16</v>
      </c>
      <c r="B391" s="2" t="s">
        <v>7</v>
      </c>
      <c r="C391" s="2" t="s">
        <v>20</v>
      </c>
      <c r="D391" s="2">
        <v>3159</v>
      </c>
      <c r="E391" s="2">
        <v>10256</v>
      </c>
      <c r="F391" s="2" t="s">
        <v>30</v>
      </c>
      <c r="G391" s="2" t="s">
        <v>41</v>
      </c>
      <c r="H391" s="15">
        <f t="shared" si="12"/>
        <v>7097</v>
      </c>
      <c r="I391" s="14">
        <f t="shared" si="13"/>
        <v>2.2465970243748021</v>
      </c>
    </row>
    <row r="392" spans="1:9" x14ac:dyDescent="0.3">
      <c r="A392" s="2" t="s">
        <v>16</v>
      </c>
      <c r="B392" s="2" t="s">
        <v>7</v>
      </c>
      <c r="C392" s="2" t="s">
        <v>29</v>
      </c>
      <c r="D392" s="2">
        <v>4336</v>
      </c>
      <c r="E392" s="2">
        <v>10618</v>
      </c>
      <c r="F392" s="2" t="s">
        <v>36</v>
      </c>
      <c r="G392" s="2" t="s">
        <v>41</v>
      </c>
      <c r="H392" s="15">
        <f t="shared" si="12"/>
        <v>6282</v>
      </c>
      <c r="I392" s="14">
        <f t="shared" si="13"/>
        <v>1.4488007380073802</v>
      </c>
    </row>
    <row r="393" spans="1:9" x14ac:dyDescent="0.3">
      <c r="A393" s="2" t="s">
        <v>6</v>
      </c>
      <c r="B393" s="2" t="s">
        <v>23</v>
      </c>
      <c r="C393" s="2" t="s">
        <v>29</v>
      </c>
      <c r="D393" s="2">
        <v>3184</v>
      </c>
      <c r="E393" s="2">
        <v>7835</v>
      </c>
      <c r="F393" s="2" t="s">
        <v>15</v>
      </c>
      <c r="G393" s="2" t="s">
        <v>41</v>
      </c>
      <c r="H393" s="15">
        <f t="shared" si="12"/>
        <v>4651</v>
      </c>
      <c r="I393" s="14">
        <f t="shared" si="13"/>
        <v>1.4607412060301508</v>
      </c>
    </row>
    <row r="394" spans="1:9" x14ac:dyDescent="0.3">
      <c r="A394" s="2" t="s">
        <v>22</v>
      </c>
      <c r="B394" s="2" t="s">
        <v>28</v>
      </c>
      <c r="C394" s="2" t="s">
        <v>17</v>
      </c>
      <c r="D394" s="2">
        <v>4494</v>
      </c>
      <c r="E394" s="2">
        <v>6591</v>
      </c>
      <c r="F394" s="2" t="s">
        <v>12</v>
      </c>
      <c r="G394" s="2" t="s">
        <v>41</v>
      </c>
      <c r="H394" s="15">
        <f t="shared" si="12"/>
        <v>2097</v>
      </c>
      <c r="I394" s="14">
        <f t="shared" si="13"/>
        <v>0.46662216288384512</v>
      </c>
    </row>
    <row r="395" spans="1:9" x14ac:dyDescent="0.3">
      <c r="A395" s="2" t="s">
        <v>33</v>
      </c>
      <c r="B395" s="2" t="s">
        <v>25</v>
      </c>
      <c r="C395" s="2" t="s">
        <v>14</v>
      </c>
      <c r="D395" s="2">
        <v>8721</v>
      </c>
      <c r="E395" s="2">
        <v>10508</v>
      </c>
      <c r="F395" s="2" t="s">
        <v>15</v>
      </c>
      <c r="G395" s="2" t="s">
        <v>41</v>
      </c>
      <c r="H395" s="15">
        <f t="shared" si="12"/>
        <v>1787</v>
      </c>
      <c r="I395" s="14">
        <f t="shared" si="13"/>
        <v>0.20490769407178075</v>
      </c>
    </row>
    <row r="396" spans="1:9" x14ac:dyDescent="0.3">
      <c r="A396" s="2" t="s">
        <v>16</v>
      </c>
      <c r="B396" s="2" t="s">
        <v>25</v>
      </c>
      <c r="C396" s="2" t="s">
        <v>32</v>
      </c>
      <c r="D396" s="2">
        <v>9237</v>
      </c>
      <c r="E396" s="2">
        <v>4112</v>
      </c>
      <c r="F396" s="2" t="s">
        <v>30</v>
      </c>
      <c r="G396" s="2" t="s">
        <v>42</v>
      </c>
      <c r="H396" s="15">
        <f t="shared" si="12"/>
        <v>-5125</v>
      </c>
      <c r="I396" s="14">
        <f t="shared" si="13"/>
        <v>-0.55483382050449281</v>
      </c>
    </row>
    <row r="397" spans="1:9" x14ac:dyDescent="0.3">
      <c r="A397" s="2" t="s">
        <v>33</v>
      </c>
      <c r="B397" s="2" t="s">
        <v>25</v>
      </c>
      <c r="C397" s="2" t="s">
        <v>11</v>
      </c>
      <c r="D397" s="2">
        <v>4808</v>
      </c>
      <c r="E397" s="2">
        <v>11555</v>
      </c>
      <c r="F397" s="2" t="s">
        <v>30</v>
      </c>
      <c r="G397" s="2" t="s">
        <v>41</v>
      </c>
      <c r="H397" s="15">
        <f t="shared" si="12"/>
        <v>6747</v>
      </c>
      <c r="I397" s="14">
        <f t="shared" si="13"/>
        <v>1.4032861896838602</v>
      </c>
    </row>
    <row r="398" spans="1:9" x14ac:dyDescent="0.3">
      <c r="A398" s="2" t="s">
        <v>33</v>
      </c>
      <c r="B398" s="2" t="s">
        <v>10</v>
      </c>
      <c r="C398" s="2" t="s">
        <v>11</v>
      </c>
      <c r="D398" s="2">
        <v>9600</v>
      </c>
      <c r="E398" s="2">
        <v>8404</v>
      </c>
      <c r="F398" s="2" t="s">
        <v>19</v>
      </c>
      <c r="G398" s="2" t="s">
        <v>42</v>
      </c>
      <c r="H398" s="15">
        <f t="shared" si="12"/>
        <v>-1196</v>
      </c>
      <c r="I398" s="14">
        <f t="shared" si="13"/>
        <v>-0.12458333333333334</v>
      </c>
    </row>
    <row r="399" spans="1:9" x14ac:dyDescent="0.3">
      <c r="A399" s="2" t="s">
        <v>33</v>
      </c>
      <c r="B399" s="2" t="s">
        <v>31</v>
      </c>
      <c r="C399" s="2" t="s">
        <v>14</v>
      </c>
      <c r="D399" s="2">
        <v>8701</v>
      </c>
      <c r="E399" s="2">
        <v>3244</v>
      </c>
      <c r="F399" s="2" t="s">
        <v>19</v>
      </c>
      <c r="G399" s="2" t="s">
        <v>42</v>
      </c>
      <c r="H399" s="15">
        <f t="shared" si="12"/>
        <v>-5457</v>
      </c>
      <c r="I399" s="14">
        <f t="shared" si="13"/>
        <v>-0.62716929088610507</v>
      </c>
    </row>
    <row r="400" spans="1:9" x14ac:dyDescent="0.3">
      <c r="A400" s="2" t="s">
        <v>13</v>
      </c>
      <c r="B400" s="2" t="s">
        <v>25</v>
      </c>
      <c r="C400" s="2" t="s">
        <v>26</v>
      </c>
      <c r="D400" s="2">
        <v>1394</v>
      </c>
      <c r="E400" s="2">
        <v>10215</v>
      </c>
      <c r="F400" s="2" t="s">
        <v>15</v>
      </c>
      <c r="G400" s="2" t="s">
        <v>41</v>
      </c>
      <c r="H400" s="15">
        <f t="shared" si="12"/>
        <v>8821</v>
      </c>
      <c r="I400" s="14">
        <f t="shared" si="13"/>
        <v>6.3278335724533719</v>
      </c>
    </row>
    <row r="401" spans="1:9" x14ac:dyDescent="0.3">
      <c r="A401" s="2" t="s">
        <v>16</v>
      </c>
      <c r="B401" s="2" t="s">
        <v>31</v>
      </c>
      <c r="C401" s="2" t="s">
        <v>11</v>
      </c>
      <c r="D401" s="2">
        <v>1146</v>
      </c>
      <c r="E401" s="2">
        <v>6958</v>
      </c>
      <c r="F401" s="2" t="s">
        <v>15</v>
      </c>
      <c r="G401" s="2" t="s">
        <v>41</v>
      </c>
      <c r="H401" s="15">
        <f t="shared" si="12"/>
        <v>5812</v>
      </c>
      <c r="I401" s="14">
        <f t="shared" si="13"/>
        <v>5.0715532286212914</v>
      </c>
    </row>
    <row r="402" spans="1:9" x14ac:dyDescent="0.3">
      <c r="A402" s="2" t="s">
        <v>13</v>
      </c>
      <c r="B402" s="2" t="s">
        <v>28</v>
      </c>
      <c r="C402" s="2" t="s">
        <v>14</v>
      </c>
      <c r="D402" s="2">
        <v>3150</v>
      </c>
      <c r="E402" s="2">
        <v>10703</v>
      </c>
      <c r="F402" s="2" t="s">
        <v>15</v>
      </c>
      <c r="G402" s="2" t="s">
        <v>41</v>
      </c>
      <c r="H402" s="15">
        <f t="shared" si="12"/>
        <v>7553</v>
      </c>
      <c r="I402" s="14">
        <f t="shared" si="13"/>
        <v>2.3977777777777778</v>
      </c>
    </row>
    <row r="403" spans="1:9" x14ac:dyDescent="0.3">
      <c r="A403" s="2" t="s">
        <v>33</v>
      </c>
      <c r="B403" s="2" t="s">
        <v>35</v>
      </c>
      <c r="C403" s="2" t="s">
        <v>20</v>
      </c>
      <c r="D403" s="2">
        <v>1765</v>
      </c>
      <c r="E403" s="2">
        <v>10599</v>
      </c>
      <c r="F403" s="2" t="s">
        <v>36</v>
      </c>
      <c r="G403" s="2" t="s">
        <v>41</v>
      </c>
      <c r="H403" s="15">
        <f t="shared" si="12"/>
        <v>8834</v>
      </c>
      <c r="I403" s="14">
        <f t="shared" si="13"/>
        <v>5.0050991501416426</v>
      </c>
    </row>
    <row r="404" spans="1:9" x14ac:dyDescent="0.3">
      <c r="A404" s="2" t="s">
        <v>27</v>
      </c>
      <c r="B404" s="2" t="s">
        <v>7</v>
      </c>
      <c r="C404" s="2" t="s">
        <v>14</v>
      </c>
      <c r="D404" s="2">
        <v>3131</v>
      </c>
      <c r="E404" s="2">
        <v>3321</v>
      </c>
      <c r="F404" s="2" t="s">
        <v>15</v>
      </c>
      <c r="G404" s="2" t="s">
        <v>41</v>
      </c>
      <c r="H404" s="15">
        <f t="shared" si="12"/>
        <v>190</v>
      </c>
      <c r="I404" s="14">
        <f t="shared" si="13"/>
        <v>6.0683487703609068E-2</v>
      </c>
    </row>
    <row r="405" spans="1:9" x14ac:dyDescent="0.3">
      <c r="A405" s="2" t="s">
        <v>16</v>
      </c>
      <c r="B405" s="2" t="s">
        <v>7</v>
      </c>
      <c r="C405" s="2" t="s">
        <v>26</v>
      </c>
      <c r="D405" s="2">
        <v>6008</v>
      </c>
      <c r="E405" s="2">
        <v>5421</v>
      </c>
      <c r="F405" s="2" t="s">
        <v>19</v>
      </c>
      <c r="G405" s="2" t="s">
        <v>42</v>
      </c>
      <c r="H405" s="15">
        <f t="shared" si="12"/>
        <v>-587</v>
      </c>
      <c r="I405" s="14">
        <f t="shared" si="13"/>
        <v>-9.7703062583222366E-2</v>
      </c>
    </row>
    <row r="406" spans="1:9" x14ac:dyDescent="0.3">
      <c r="A406" s="2" t="s">
        <v>13</v>
      </c>
      <c r="B406" s="2" t="s">
        <v>28</v>
      </c>
      <c r="C406" s="2" t="s">
        <v>11</v>
      </c>
      <c r="D406" s="2">
        <v>8732</v>
      </c>
      <c r="E406" s="2">
        <v>2976</v>
      </c>
      <c r="F406" s="2" t="s">
        <v>36</v>
      </c>
      <c r="G406" s="2" t="s">
        <v>42</v>
      </c>
      <c r="H406" s="15">
        <f t="shared" si="12"/>
        <v>-5756</v>
      </c>
      <c r="I406" s="14">
        <f t="shared" si="13"/>
        <v>-0.65918460833715076</v>
      </c>
    </row>
    <row r="407" spans="1:9" x14ac:dyDescent="0.3">
      <c r="A407" s="2" t="s">
        <v>9</v>
      </c>
      <c r="B407" s="2" t="s">
        <v>31</v>
      </c>
      <c r="C407" s="2" t="s">
        <v>18</v>
      </c>
      <c r="D407" s="2">
        <v>1593</v>
      </c>
      <c r="E407" s="2">
        <v>7292</v>
      </c>
      <c r="F407" s="2" t="s">
        <v>19</v>
      </c>
      <c r="G407" s="2" t="s">
        <v>41</v>
      </c>
      <c r="H407" s="15">
        <f t="shared" si="12"/>
        <v>5699</v>
      </c>
      <c r="I407" s="14">
        <f t="shared" si="13"/>
        <v>3.5775266792215943</v>
      </c>
    </row>
    <row r="408" spans="1:9" x14ac:dyDescent="0.3">
      <c r="A408" s="2" t="s">
        <v>9</v>
      </c>
      <c r="B408" s="2" t="s">
        <v>10</v>
      </c>
      <c r="C408" s="2" t="s">
        <v>24</v>
      </c>
      <c r="D408" s="2">
        <v>1834</v>
      </c>
      <c r="E408" s="2">
        <v>8696</v>
      </c>
      <c r="F408" s="2" t="s">
        <v>30</v>
      </c>
      <c r="G408" s="2" t="s">
        <v>41</v>
      </c>
      <c r="H408" s="15">
        <f t="shared" si="12"/>
        <v>6862</v>
      </c>
      <c r="I408" s="14">
        <f t="shared" si="13"/>
        <v>3.74154852780807</v>
      </c>
    </row>
    <row r="409" spans="1:9" x14ac:dyDescent="0.3">
      <c r="A409" s="2" t="s">
        <v>22</v>
      </c>
      <c r="B409" s="2" t="s">
        <v>7</v>
      </c>
      <c r="C409" s="2" t="s">
        <v>17</v>
      </c>
      <c r="D409" s="2">
        <v>3112</v>
      </c>
      <c r="E409" s="2">
        <v>4368</v>
      </c>
      <c r="F409" s="2" t="s">
        <v>19</v>
      </c>
      <c r="G409" s="2" t="s">
        <v>41</v>
      </c>
      <c r="H409" s="15">
        <f t="shared" si="12"/>
        <v>1256</v>
      </c>
      <c r="I409" s="14">
        <f t="shared" si="13"/>
        <v>0.40359897172236503</v>
      </c>
    </row>
    <row r="410" spans="1:9" x14ac:dyDescent="0.3">
      <c r="A410" s="2" t="s">
        <v>6</v>
      </c>
      <c r="B410" s="2" t="s">
        <v>28</v>
      </c>
      <c r="C410" s="2" t="s">
        <v>29</v>
      </c>
      <c r="D410" s="2">
        <v>3309</v>
      </c>
      <c r="E410" s="2">
        <v>8075</v>
      </c>
      <c r="F410" s="2" t="s">
        <v>12</v>
      </c>
      <c r="G410" s="2" t="s">
        <v>41</v>
      </c>
      <c r="H410" s="15">
        <f t="shared" si="12"/>
        <v>4766</v>
      </c>
      <c r="I410" s="14">
        <f t="shared" si="13"/>
        <v>1.4403142943487459</v>
      </c>
    </row>
    <row r="411" spans="1:9" x14ac:dyDescent="0.3">
      <c r="A411" s="2" t="s">
        <v>27</v>
      </c>
      <c r="B411" s="2" t="s">
        <v>7</v>
      </c>
      <c r="C411" s="2" t="s">
        <v>21</v>
      </c>
      <c r="D411" s="2">
        <v>6369</v>
      </c>
      <c r="E411" s="2">
        <v>11050</v>
      </c>
      <c r="F411" s="2" t="s">
        <v>36</v>
      </c>
      <c r="G411" s="2" t="s">
        <v>41</v>
      </c>
      <c r="H411" s="15">
        <f t="shared" si="12"/>
        <v>4681</v>
      </c>
      <c r="I411" s="14">
        <f t="shared" si="13"/>
        <v>0.7349662427382635</v>
      </c>
    </row>
    <row r="412" spans="1:9" x14ac:dyDescent="0.3">
      <c r="A412" s="2" t="s">
        <v>27</v>
      </c>
      <c r="B412" s="2" t="s">
        <v>35</v>
      </c>
      <c r="C412" s="2" t="s">
        <v>21</v>
      </c>
      <c r="D412" s="2">
        <v>5681</v>
      </c>
      <c r="E412" s="2">
        <v>9019</v>
      </c>
      <c r="F412" s="2" t="s">
        <v>36</v>
      </c>
      <c r="G412" s="2" t="s">
        <v>41</v>
      </c>
      <c r="H412" s="15">
        <f t="shared" si="12"/>
        <v>3338</v>
      </c>
      <c r="I412" s="14">
        <f t="shared" si="13"/>
        <v>0.5875726104559057</v>
      </c>
    </row>
    <row r="413" spans="1:9" x14ac:dyDescent="0.3">
      <c r="A413" s="2" t="s">
        <v>16</v>
      </c>
      <c r="B413" s="2" t="s">
        <v>35</v>
      </c>
      <c r="C413" s="2" t="s">
        <v>24</v>
      </c>
      <c r="D413" s="2">
        <v>2843</v>
      </c>
      <c r="E413" s="2">
        <v>8371</v>
      </c>
      <c r="F413" s="2" t="s">
        <v>15</v>
      </c>
      <c r="G413" s="2" t="s">
        <v>41</v>
      </c>
      <c r="H413" s="15">
        <f t="shared" si="12"/>
        <v>5528</v>
      </c>
      <c r="I413" s="14">
        <f t="shared" si="13"/>
        <v>1.9444249032711924</v>
      </c>
    </row>
    <row r="414" spans="1:9" x14ac:dyDescent="0.3">
      <c r="A414" s="2" t="s">
        <v>16</v>
      </c>
      <c r="B414" s="2" t="s">
        <v>10</v>
      </c>
      <c r="C414" s="2" t="s">
        <v>26</v>
      </c>
      <c r="D414" s="2">
        <v>8661</v>
      </c>
      <c r="E414" s="2">
        <v>5009</v>
      </c>
      <c r="F414" s="2" t="s">
        <v>19</v>
      </c>
      <c r="G414" s="2" t="s">
        <v>42</v>
      </c>
      <c r="H414" s="15">
        <f t="shared" si="12"/>
        <v>-3652</v>
      </c>
      <c r="I414" s="14">
        <f t="shared" si="13"/>
        <v>-0.4216603163606974</v>
      </c>
    </row>
    <row r="415" spans="1:9" x14ac:dyDescent="0.3">
      <c r="A415" s="2" t="s">
        <v>9</v>
      </c>
      <c r="B415" s="2" t="s">
        <v>35</v>
      </c>
      <c r="C415" s="2" t="s">
        <v>18</v>
      </c>
      <c r="D415" s="2">
        <v>5788</v>
      </c>
      <c r="E415" s="2">
        <v>3671</v>
      </c>
      <c r="F415" s="2" t="s">
        <v>36</v>
      </c>
      <c r="G415" s="2" t="s">
        <v>42</v>
      </c>
      <c r="H415" s="15">
        <f t="shared" si="12"/>
        <v>-2117</v>
      </c>
      <c r="I415" s="14">
        <f t="shared" si="13"/>
        <v>-0.36575673807878367</v>
      </c>
    </row>
    <row r="416" spans="1:9" x14ac:dyDescent="0.3">
      <c r="A416" s="2" t="s">
        <v>27</v>
      </c>
      <c r="B416" s="2" t="s">
        <v>10</v>
      </c>
      <c r="C416" s="2" t="s">
        <v>20</v>
      </c>
      <c r="D416" s="2">
        <v>9496</v>
      </c>
      <c r="E416" s="2">
        <v>10916</v>
      </c>
      <c r="F416" s="2" t="s">
        <v>36</v>
      </c>
      <c r="G416" s="2" t="s">
        <v>41</v>
      </c>
      <c r="H416" s="15">
        <f t="shared" si="12"/>
        <v>1420</v>
      </c>
      <c r="I416" s="14">
        <f t="shared" si="13"/>
        <v>0.14953664700926705</v>
      </c>
    </row>
    <row r="417" spans="1:9" x14ac:dyDescent="0.3">
      <c r="A417" s="2" t="s">
        <v>22</v>
      </c>
      <c r="B417" s="2" t="s">
        <v>25</v>
      </c>
      <c r="C417" s="2" t="s">
        <v>18</v>
      </c>
      <c r="D417" s="2">
        <v>5345</v>
      </c>
      <c r="E417" s="2">
        <v>3641</v>
      </c>
      <c r="F417" s="2" t="s">
        <v>36</v>
      </c>
      <c r="G417" s="2" t="s">
        <v>42</v>
      </c>
      <c r="H417" s="15">
        <f t="shared" si="12"/>
        <v>-1704</v>
      </c>
      <c r="I417" s="14">
        <f t="shared" si="13"/>
        <v>-0.31880261927034614</v>
      </c>
    </row>
    <row r="418" spans="1:9" x14ac:dyDescent="0.3">
      <c r="A418" s="2" t="s">
        <v>22</v>
      </c>
      <c r="B418" s="2" t="s">
        <v>10</v>
      </c>
      <c r="C418" s="2" t="s">
        <v>8</v>
      </c>
      <c r="D418" s="2">
        <v>8724</v>
      </c>
      <c r="E418" s="2">
        <v>11752</v>
      </c>
      <c r="F418" s="2" t="s">
        <v>30</v>
      </c>
      <c r="G418" s="2" t="s">
        <v>41</v>
      </c>
      <c r="H418" s="15">
        <f t="shared" si="12"/>
        <v>3028</v>
      </c>
      <c r="I418" s="14">
        <f t="shared" si="13"/>
        <v>0.34708849151765248</v>
      </c>
    </row>
    <row r="419" spans="1:9" x14ac:dyDescent="0.3">
      <c r="A419" s="2" t="s">
        <v>33</v>
      </c>
      <c r="B419" s="2" t="s">
        <v>28</v>
      </c>
      <c r="C419" s="2" t="s">
        <v>21</v>
      </c>
      <c r="D419" s="2">
        <v>4820</v>
      </c>
      <c r="E419" s="2">
        <v>10915</v>
      </c>
      <c r="F419" s="2" t="s">
        <v>36</v>
      </c>
      <c r="G419" s="2" t="s">
        <v>41</v>
      </c>
      <c r="H419" s="15">
        <f t="shared" si="12"/>
        <v>6095</v>
      </c>
      <c r="I419" s="14">
        <f t="shared" si="13"/>
        <v>1.2645228215767634</v>
      </c>
    </row>
    <row r="420" spans="1:9" x14ac:dyDescent="0.3">
      <c r="A420" s="2" t="s">
        <v>22</v>
      </c>
      <c r="B420" s="2" t="s">
        <v>7</v>
      </c>
      <c r="C420" s="2" t="s">
        <v>24</v>
      </c>
      <c r="D420" s="2">
        <v>1143</v>
      </c>
      <c r="E420" s="2">
        <v>11179</v>
      </c>
      <c r="F420" s="2" t="s">
        <v>36</v>
      </c>
      <c r="G420" s="2" t="s">
        <v>41</v>
      </c>
      <c r="H420" s="15">
        <f t="shared" si="12"/>
        <v>10036</v>
      </c>
      <c r="I420" s="14">
        <f t="shared" si="13"/>
        <v>8.7804024496937885</v>
      </c>
    </row>
    <row r="421" spans="1:9" x14ac:dyDescent="0.3">
      <c r="A421" s="2" t="s">
        <v>6</v>
      </c>
      <c r="B421" s="2" t="s">
        <v>28</v>
      </c>
      <c r="C421" s="2" t="s">
        <v>11</v>
      </c>
      <c r="D421" s="2">
        <v>3112</v>
      </c>
      <c r="E421" s="2">
        <v>864</v>
      </c>
      <c r="F421" s="2" t="s">
        <v>19</v>
      </c>
      <c r="G421" s="2" t="s">
        <v>42</v>
      </c>
      <c r="H421" s="15">
        <f t="shared" si="12"/>
        <v>-2248</v>
      </c>
      <c r="I421" s="14">
        <f t="shared" si="13"/>
        <v>-0.72236503856041134</v>
      </c>
    </row>
    <row r="422" spans="1:9" x14ac:dyDescent="0.3">
      <c r="A422" s="2" t="s">
        <v>9</v>
      </c>
      <c r="B422" s="2" t="s">
        <v>25</v>
      </c>
      <c r="C422" s="2" t="s">
        <v>32</v>
      </c>
      <c r="D422" s="2">
        <v>9391</v>
      </c>
      <c r="E422" s="2">
        <v>5280</v>
      </c>
      <c r="F422" s="2" t="s">
        <v>30</v>
      </c>
      <c r="G422" s="2" t="s">
        <v>42</v>
      </c>
      <c r="H422" s="15">
        <f t="shared" si="12"/>
        <v>-4111</v>
      </c>
      <c r="I422" s="14">
        <f t="shared" si="13"/>
        <v>-0.43775955702268127</v>
      </c>
    </row>
    <row r="423" spans="1:9" x14ac:dyDescent="0.3">
      <c r="A423" s="2" t="s">
        <v>27</v>
      </c>
      <c r="B423" s="2" t="s">
        <v>23</v>
      </c>
      <c r="C423" s="2" t="s">
        <v>24</v>
      </c>
      <c r="D423" s="2">
        <v>4770</v>
      </c>
      <c r="E423" s="2">
        <v>10869</v>
      </c>
      <c r="F423" s="2" t="s">
        <v>19</v>
      </c>
      <c r="G423" s="2" t="s">
        <v>41</v>
      </c>
      <c r="H423" s="15">
        <f t="shared" si="12"/>
        <v>6099</v>
      </c>
      <c r="I423" s="14">
        <f t="shared" si="13"/>
        <v>1.2786163522012579</v>
      </c>
    </row>
    <row r="424" spans="1:9" x14ac:dyDescent="0.3">
      <c r="A424" s="2" t="s">
        <v>16</v>
      </c>
      <c r="B424" s="2" t="s">
        <v>23</v>
      </c>
      <c r="C424" s="2" t="s">
        <v>29</v>
      </c>
      <c r="D424" s="2">
        <v>8746</v>
      </c>
      <c r="E424" s="2">
        <v>8256</v>
      </c>
      <c r="F424" s="2" t="s">
        <v>15</v>
      </c>
      <c r="G424" s="2" t="s">
        <v>42</v>
      </c>
      <c r="H424" s="15">
        <f t="shared" si="12"/>
        <v>-490</v>
      </c>
      <c r="I424" s="14">
        <f t="shared" si="13"/>
        <v>-5.6025611708209466E-2</v>
      </c>
    </row>
    <row r="425" spans="1:9" x14ac:dyDescent="0.3">
      <c r="A425" s="2" t="s">
        <v>6</v>
      </c>
      <c r="B425" s="2" t="s">
        <v>7</v>
      </c>
      <c r="C425" s="2" t="s">
        <v>14</v>
      </c>
      <c r="D425" s="2">
        <v>1425</v>
      </c>
      <c r="E425" s="2">
        <v>9194</v>
      </c>
      <c r="F425" s="2" t="s">
        <v>12</v>
      </c>
      <c r="G425" s="2" t="s">
        <v>41</v>
      </c>
      <c r="H425" s="15">
        <f t="shared" si="12"/>
        <v>7769</v>
      </c>
      <c r="I425" s="14">
        <f t="shared" si="13"/>
        <v>5.4519298245614038</v>
      </c>
    </row>
    <row r="426" spans="1:9" x14ac:dyDescent="0.3">
      <c r="A426" s="2" t="s">
        <v>22</v>
      </c>
      <c r="B426" s="2" t="s">
        <v>31</v>
      </c>
      <c r="C426" s="2" t="s">
        <v>24</v>
      </c>
      <c r="D426" s="2">
        <v>6268</v>
      </c>
      <c r="E426" s="2">
        <v>6863</v>
      </c>
      <c r="F426" s="2" t="s">
        <v>19</v>
      </c>
      <c r="G426" s="2" t="s">
        <v>41</v>
      </c>
      <c r="H426" s="15">
        <f t="shared" si="12"/>
        <v>595</v>
      </c>
      <c r="I426" s="14">
        <f t="shared" si="13"/>
        <v>9.4926611359285262E-2</v>
      </c>
    </row>
    <row r="427" spans="1:9" x14ac:dyDescent="0.3">
      <c r="A427" s="2" t="s">
        <v>27</v>
      </c>
      <c r="B427" s="2" t="s">
        <v>35</v>
      </c>
      <c r="C427" s="2" t="s">
        <v>17</v>
      </c>
      <c r="D427" s="2">
        <v>2613</v>
      </c>
      <c r="E427" s="2">
        <v>2542</v>
      </c>
      <c r="F427" s="2" t="s">
        <v>19</v>
      </c>
      <c r="G427" s="2" t="s">
        <v>42</v>
      </c>
      <c r="H427" s="15">
        <f t="shared" si="12"/>
        <v>-71</v>
      </c>
      <c r="I427" s="14">
        <f t="shared" si="13"/>
        <v>-2.7171833141982394E-2</v>
      </c>
    </row>
    <row r="428" spans="1:9" x14ac:dyDescent="0.3">
      <c r="A428" s="2" t="s">
        <v>9</v>
      </c>
      <c r="B428" s="2" t="s">
        <v>25</v>
      </c>
      <c r="C428" s="2" t="s">
        <v>29</v>
      </c>
      <c r="D428" s="2">
        <v>9095</v>
      </c>
      <c r="E428" s="2">
        <v>4732</v>
      </c>
      <c r="F428" s="2" t="s">
        <v>12</v>
      </c>
      <c r="G428" s="2" t="s">
        <v>42</v>
      </c>
      <c r="H428" s="15">
        <f t="shared" si="12"/>
        <v>-4363</v>
      </c>
      <c r="I428" s="14">
        <f t="shared" si="13"/>
        <v>-0.47971412864211105</v>
      </c>
    </row>
    <row r="429" spans="1:9" x14ac:dyDescent="0.3">
      <c r="A429" s="2" t="s">
        <v>16</v>
      </c>
      <c r="B429" s="2" t="s">
        <v>10</v>
      </c>
      <c r="C429" s="2" t="s">
        <v>26</v>
      </c>
      <c r="D429" s="2">
        <v>9669</v>
      </c>
      <c r="E429" s="2">
        <v>7890</v>
      </c>
      <c r="F429" s="2" t="s">
        <v>19</v>
      </c>
      <c r="G429" s="2" t="s">
        <v>42</v>
      </c>
      <c r="H429" s="15">
        <f t="shared" si="12"/>
        <v>-1779</v>
      </c>
      <c r="I429" s="14">
        <f t="shared" si="13"/>
        <v>-0.18399007136208501</v>
      </c>
    </row>
    <row r="430" spans="1:9" x14ac:dyDescent="0.3">
      <c r="A430" s="2" t="s">
        <v>9</v>
      </c>
      <c r="B430" s="2" t="s">
        <v>10</v>
      </c>
      <c r="C430" s="2" t="s">
        <v>20</v>
      </c>
      <c r="D430" s="2">
        <v>5163</v>
      </c>
      <c r="E430" s="2">
        <v>3660</v>
      </c>
      <c r="F430" s="2" t="s">
        <v>19</v>
      </c>
      <c r="G430" s="2" t="s">
        <v>42</v>
      </c>
      <c r="H430" s="15">
        <f t="shared" si="12"/>
        <v>-1503</v>
      </c>
      <c r="I430" s="14">
        <f t="shared" si="13"/>
        <v>-0.29110981987216733</v>
      </c>
    </row>
    <row r="431" spans="1:9" x14ac:dyDescent="0.3">
      <c r="A431" s="2" t="s">
        <v>33</v>
      </c>
      <c r="B431" s="2" t="s">
        <v>10</v>
      </c>
      <c r="C431" s="2" t="s">
        <v>29</v>
      </c>
      <c r="D431" s="2">
        <v>6831</v>
      </c>
      <c r="E431" s="2">
        <v>5287</v>
      </c>
      <c r="F431" s="2" t="s">
        <v>36</v>
      </c>
      <c r="G431" s="2" t="s">
        <v>42</v>
      </c>
      <c r="H431" s="15">
        <f t="shared" si="12"/>
        <v>-1544</v>
      </c>
      <c r="I431" s="14">
        <f t="shared" si="13"/>
        <v>-0.22602839994144341</v>
      </c>
    </row>
    <row r="432" spans="1:9" x14ac:dyDescent="0.3">
      <c r="A432" s="2" t="s">
        <v>33</v>
      </c>
      <c r="B432" s="2" t="s">
        <v>25</v>
      </c>
      <c r="C432" s="2" t="s">
        <v>26</v>
      </c>
      <c r="D432" s="2">
        <v>1781</v>
      </c>
      <c r="E432" s="2">
        <v>5118</v>
      </c>
      <c r="F432" s="2" t="s">
        <v>36</v>
      </c>
      <c r="G432" s="2" t="s">
        <v>41</v>
      </c>
      <c r="H432" s="15">
        <f t="shared" si="12"/>
        <v>3337</v>
      </c>
      <c r="I432" s="14">
        <f t="shared" si="13"/>
        <v>1.8736664795058955</v>
      </c>
    </row>
    <row r="433" spans="1:9" x14ac:dyDescent="0.3">
      <c r="A433" s="2" t="s">
        <v>13</v>
      </c>
      <c r="B433" s="2" t="s">
        <v>35</v>
      </c>
      <c r="C433" s="2" t="s">
        <v>20</v>
      </c>
      <c r="D433" s="2">
        <v>9572</v>
      </c>
      <c r="E433" s="2">
        <v>4180</v>
      </c>
      <c r="F433" s="2" t="s">
        <v>15</v>
      </c>
      <c r="G433" s="2" t="s">
        <v>42</v>
      </c>
      <c r="H433" s="15">
        <f t="shared" si="12"/>
        <v>-5392</v>
      </c>
      <c r="I433" s="14">
        <f t="shared" si="13"/>
        <v>-0.56330965315503556</v>
      </c>
    </row>
    <row r="434" spans="1:9" x14ac:dyDescent="0.3">
      <c r="A434" s="2" t="s">
        <v>22</v>
      </c>
      <c r="B434" s="2" t="s">
        <v>10</v>
      </c>
      <c r="C434" s="2" t="s">
        <v>29</v>
      </c>
      <c r="D434" s="2">
        <v>9038</v>
      </c>
      <c r="E434" s="2">
        <v>11675</v>
      </c>
      <c r="F434" s="2" t="s">
        <v>15</v>
      </c>
      <c r="G434" s="2" t="s">
        <v>41</v>
      </c>
      <c r="H434" s="15">
        <f t="shared" si="12"/>
        <v>2637</v>
      </c>
      <c r="I434" s="14">
        <f t="shared" si="13"/>
        <v>0.29176809028546141</v>
      </c>
    </row>
    <row r="435" spans="1:9" x14ac:dyDescent="0.3">
      <c r="A435" s="2" t="s">
        <v>9</v>
      </c>
      <c r="B435" s="2" t="s">
        <v>23</v>
      </c>
      <c r="C435" s="2" t="s">
        <v>29</v>
      </c>
      <c r="D435" s="2">
        <v>6317</v>
      </c>
      <c r="E435" s="2">
        <v>8373</v>
      </c>
      <c r="F435" s="2" t="s">
        <v>19</v>
      </c>
      <c r="G435" s="2" t="s">
        <v>41</v>
      </c>
      <c r="H435" s="15">
        <f t="shared" si="12"/>
        <v>2056</v>
      </c>
      <c r="I435" s="14">
        <f t="shared" si="13"/>
        <v>0.32547095140098148</v>
      </c>
    </row>
    <row r="436" spans="1:9" x14ac:dyDescent="0.3">
      <c r="A436" s="2" t="s">
        <v>16</v>
      </c>
      <c r="B436" s="2" t="s">
        <v>25</v>
      </c>
      <c r="C436" s="2" t="s">
        <v>24</v>
      </c>
      <c r="D436" s="2">
        <v>7932</v>
      </c>
      <c r="E436" s="2">
        <v>11043</v>
      </c>
      <c r="F436" s="2" t="s">
        <v>30</v>
      </c>
      <c r="G436" s="2" t="s">
        <v>41</v>
      </c>
      <c r="H436" s="15">
        <f t="shared" si="12"/>
        <v>3111</v>
      </c>
      <c r="I436" s="14">
        <f t="shared" si="13"/>
        <v>0.39220877458396369</v>
      </c>
    </row>
    <row r="437" spans="1:9" x14ac:dyDescent="0.3">
      <c r="A437" s="2" t="s">
        <v>16</v>
      </c>
      <c r="B437" s="2" t="s">
        <v>35</v>
      </c>
      <c r="C437" s="2" t="s">
        <v>21</v>
      </c>
      <c r="D437" s="2">
        <v>9871</v>
      </c>
      <c r="E437" s="2">
        <v>6466</v>
      </c>
      <c r="F437" s="2" t="s">
        <v>36</v>
      </c>
      <c r="G437" s="2" t="s">
        <v>42</v>
      </c>
      <c r="H437" s="15">
        <f t="shared" si="12"/>
        <v>-3405</v>
      </c>
      <c r="I437" s="14">
        <f t="shared" si="13"/>
        <v>-0.34494985310505522</v>
      </c>
    </row>
    <row r="438" spans="1:9" x14ac:dyDescent="0.3">
      <c r="A438" s="2" t="s">
        <v>16</v>
      </c>
      <c r="B438" s="2" t="s">
        <v>28</v>
      </c>
      <c r="C438" s="2" t="s">
        <v>34</v>
      </c>
      <c r="D438" s="2">
        <v>2475</v>
      </c>
      <c r="E438" s="2">
        <v>4554</v>
      </c>
      <c r="F438" s="2" t="s">
        <v>15</v>
      </c>
      <c r="G438" s="2" t="s">
        <v>41</v>
      </c>
      <c r="H438" s="15">
        <f t="shared" si="12"/>
        <v>2079</v>
      </c>
      <c r="I438" s="14">
        <f t="shared" si="13"/>
        <v>0.84</v>
      </c>
    </row>
    <row r="439" spans="1:9" x14ac:dyDescent="0.3">
      <c r="A439" s="2" t="s">
        <v>27</v>
      </c>
      <c r="B439" s="2" t="s">
        <v>7</v>
      </c>
      <c r="C439" s="2" t="s">
        <v>8</v>
      </c>
      <c r="D439" s="2">
        <v>5429</v>
      </c>
      <c r="E439" s="2">
        <v>8338</v>
      </c>
      <c r="F439" s="2" t="s">
        <v>12</v>
      </c>
      <c r="G439" s="2" t="s">
        <v>41</v>
      </c>
      <c r="H439" s="15">
        <f t="shared" si="12"/>
        <v>2909</v>
      </c>
      <c r="I439" s="14">
        <f t="shared" si="13"/>
        <v>0.53582611899060606</v>
      </c>
    </row>
    <row r="440" spans="1:9" x14ac:dyDescent="0.3">
      <c r="A440" s="2" t="s">
        <v>6</v>
      </c>
      <c r="B440" s="2" t="s">
        <v>7</v>
      </c>
      <c r="C440" s="2" t="s">
        <v>8</v>
      </c>
      <c r="D440" s="2">
        <v>5589</v>
      </c>
      <c r="E440" s="2">
        <v>7488</v>
      </c>
      <c r="F440" s="2" t="s">
        <v>36</v>
      </c>
      <c r="G440" s="2" t="s">
        <v>41</v>
      </c>
      <c r="H440" s="15">
        <f t="shared" si="12"/>
        <v>1899</v>
      </c>
      <c r="I440" s="14">
        <f t="shared" si="13"/>
        <v>0.33977455716586152</v>
      </c>
    </row>
    <row r="441" spans="1:9" x14ac:dyDescent="0.3">
      <c r="A441" s="2" t="s">
        <v>27</v>
      </c>
      <c r="B441" s="2" t="s">
        <v>7</v>
      </c>
      <c r="C441" s="2" t="s">
        <v>34</v>
      </c>
      <c r="D441" s="2">
        <v>2318</v>
      </c>
      <c r="E441" s="2">
        <v>11633</v>
      </c>
      <c r="F441" s="2" t="s">
        <v>19</v>
      </c>
      <c r="G441" s="2" t="s">
        <v>41</v>
      </c>
      <c r="H441" s="15">
        <f t="shared" si="12"/>
        <v>9315</v>
      </c>
      <c r="I441" s="14">
        <f t="shared" si="13"/>
        <v>4.0185504745470233</v>
      </c>
    </row>
    <row r="442" spans="1:9" x14ac:dyDescent="0.3">
      <c r="A442" s="2" t="s">
        <v>22</v>
      </c>
      <c r="B442" s="2" t="s">
        <v>7</v>
      </c>
      <c r="C442" s="2" t="s">
        <v>18</v>
      </c>
      <c r="D442" s="2">
        <v>9669</v>
      </c>
      <c r="E442" s="2">
        <v>6073</v>
      </c>
      <c r="F442" s="2" t="s">
        <v>12</v>
      </c>
      <c r="G442" s="2" t="s">
        <v>42</v>
      </c>
      <c r="H442" s="15">
        <f t="shared" si="12"/>
        <v>-3596</v>
      </c>
      <c r="I442" s="14">
        <f t="shared" si="13"/>
        <v>-0.37191022856551864</v>
      </c>
    </row>
    <row r="443" spans="1:9" x14ac:dyDescent="0.3">
      <c r="A443" s="2" t="s">
        <v>27</v>
      </c>
      <c r="B443" s="2" t="s">
        <v>31</v>
      </c>
      <c r="C443" s="2" t="s">
        <v>11</v>
      </c>
      <c r="D443" s="2">
        <v>4450</v>
      </c>
      <c r="E443" s="2">
        <v>7714</v>
      </c>
      <c r="F443" s="2" t="s">
        <v>36</v>
      </c>
      <c r="G443" s="2" t="s">
        <v>41</v>
      </c>
      <c r="H443" s="15">
        <f t="shared" si="12"/>
        <v>3264</v>
      </c>
      <c r="I443" s="14">
        <f t="shared" si="13"/>
        <v>0.73348314606741571</v>
      </c>
    </row>
    <row r="444" spans="1:9" x14ac:dyDescent="0.3">
      <c r="A444" s="2" t="s">
        <v>13</v>
      </c>
      <c r="B444" s="2" t="s">
        <v>23</v>
      </c>
      <c r="C444" s="2" t="s">
        <v>34</v>
      </c>
      <c r="D444" s="2">
        <v>5464</v>
      </c>
      <c r="E444" s="2">
        <v>1674</v>
      </c>
      <c r="F444" s="2" t="s">
        <v>15</v>
      </c>
      <c r="G444" s="2" t="s">
        <v>42</v>
      </c>
      <c r="H444" s="15">
        <f t="shared" si="12"/>
        <v>-3790</v>
      </c>
      <c r="I444" s="14">
        <f t="shared" si="13"/>
        <v>-0.69363103953147875</v>
      </c>
    </row>
    <row r="445" spans="1:9" x14ac:dyDescent="0.3">
      <c r="A445" s="2" t="s">
        <v>6</v>
      </c>
      <c r="B445" s="2" t="s">
        <v>10</v>
      </c>
      <c r="C445" s="2" t="s">
        <v>17</v>
      </c>
      <c r="D445" s="2">
        <v>6383</v>
      </c>
      <c r="E445" s="2">
        <v>3376</v>
      </c>
      <c r="F445" s="2" t="s">
        <v>19</v>
      </c>
      <c r="G445" s="2" t="s">
        <v>42</v>
      </c>
      <c r="H445" s="15">
        <f t="shared" si="12"/>
        <v>-3007</v>
      </c>
      <c r="I445" s="14">
        <f t="shared" si="13"/>
        <v>-0.47109509634967883</v>
      </c>
    </row>
    <row r="446" spans="1:9" x14ac:dyDescent="0.3">
      <c r="A446" s="2" t="s">
        <v>9</v>
      </c>
      <c r="B446" s="2" t="s">
        <v>31</v>
      </c>
      <c r="C446" s="2" t="s">
        <v>26</v>
      </c>
      <c r="D446" s="2">
        <v>3171</v>
      </c>
      <c r="E446" s="2">
        <v>6967</v>
      </c>
      <c r="F446" s="2" t="s">
        <v>30</v>
      </c>
      <c r="G446" s="2" t="s">
        <v>41</v>
      </c>
      <c r="H446" s="15">
        <f t="shared" si="12"/>
        <v>3796</v>
      </c>
      <c r="I446" s="14">
        <f t="shared" si="13"/>
        <v>1.1970987070324819</v>
      </c>
    </row>
    <row r="447" spans="1:9" x14ac:dyDescent="0.3">
      <c r="A447" s="2" t="s">
        <v>22</v>
      </c>
      <c r="B447" s="2" t="s">
        <v>35</v>
      </c>
      <c r="C447" s="2" t="s">
        <v>34</v>
      </c>
      <c r="D447" s="2">
        <v>8152</v>
      </c>
      <c r="E447" s="2">
        <v>2121</v>
      </c>
      <c r="F447" s="2" t="s">
        <v>12</v>
      </c>
      <c r="G447" s="2" t="s">
        <v>42</v>
      </c>
      <c r="H447" s="15">
        <f t="shared" si="12"/>
        <v>-6031</v>
      </c>
      <c r="I447" s="14">
        <f t="shared" si="13"/>
        <v>-0.7398184494602551</v>
      </c>
    </row>
    <row r="448" spans="1:9" x14ac:dyDescent="0.3">
      <c r="A448" s="2" t="s">
        <v>27</v>
      </c>
      <c r="B448" s="2" t="s">
        <v>35</v>
      </c>
      <c r="C448" s="2" t="s">
        <v>18</v>
      </c>
      <c r="D448" s="2">
        <v>2007</v>
      </c>
      <c r="E448" s="2">
        <v>11357</v>
      </c>
      <c r="F448" s="2" t="s">
        <v>15</v>
      </c>
      <c r="G448" s="2" t="s">
        <v>41</v>
      </c>
      <c r="H448" s="15">
        <f t="shared" si="12"/>
        <v>9350</v>
      </c>
      <c r="I448" s="14">
        <f t="shared" si="13"/>
        <v>4.6586945690084702</v>
      </c>
    </row>
    <row r="449" spans="1:9" x14ac:dyDescent="0.3">
      <c r="A449" s="2" t="s">
        <v>22</v>
      </c>
      <c r="B449" s="2" t="s">
        <v>28</v>
      </c>
      <c r="C449" s="2" t="s">
        <v>17</v>
      </c>
      <c r="D449" s="2">
        <v>1084</v>
      </c>
      <c r="E449" s="2">
        <v>5008</v>
      </c>
      <c r="F449" s="2" t="s">
        <v>19</v>
      </c>
      <c r="G449" s="2" t="s">
        <v>41</v>
      </c>
      <c r="H449" s="15">
        <f t="shared" si="12"/>
        <v>3924</v>
      </c>
      <c r="I449" s="14">
        <f t="shared" si="13"/>
        <v>3.6199261992619927</v>
      </c>
    </row>
    <row r="450" spans="1:9" x14ac:dyDescent="0.3">
      <c r="A450" s="2" t="s">
        <v>13</v>
      </c>
      <c r="B450" s="2" t="s">
        <v>7</v>
      </c>
      <c r="C450" s="2" t="s">
        <v>34</v>
      </c>
      <c r="D450" s="2">
        <v>3210</v>
      </c>
      <c r="E450" s="2">
        <v>5702</v>
      </c>
      <c r="F450" s="2" t="s">
        <v>15</v>
      </c>
      <c r="G450" s="2" t="s">
        <v>41</v>
      </c>
      <c r="H450" s="15">
        <f t="shared" si="12"/>
        <v>2492</v>
      </c>
      <c r="I450" s="14">
        <f t="shared" si="13"/>
        <v>0.77632398753894083</v>
      </c>
    </row>
    <row r="451" spans="1:9" x14ac:dyDescent="0.3">
      <c r="A451" s="2" t="s">
        <v>27</v>
      </c>
      <c r="B451" s="2" t="s">
        <v>10</v>
      </c>
      <c r="C451" s="2" t="s">
        <v>17</v>
      </c>
      <c r="D451" s="2">
        <v>1501</v>
      </c>
      <c r="E451" s="2">
        <v>7355</v>
      </c>
      <c r="F451" s="2" t="s">
        <v>12</v>
      </c>
      <c r="G451" s="2" t="s">
        <v>41</v>
      </c>
      <c r="H451" s="15">
        <f t="shared" ref="H451:H501" si="14">(E451-D451)</f>
        <v>5854</v>
      </c>
      <c r="I451" s="14">
        <f t="shared" ref="I451:I501" si="15">H451/D451</f>
        <v>3.9000666222518321</v>
      </c>
    </row>
    <row r="452" spans="1:9" x14ac:dyDescent="0.3">
      <c r="A452" s="2" t="s">
        <v>33</v>
      </c>
      <c r="B452" s="2" t="s">
        <v>31</v>
      </c>
      <c r="C452" s="2" t="s">
        <v>17</v>
      </c>
      <c r="D452" s="2">
        <v>4246</v>
      </c>
      <c r="E452" s="2">
        <v>11701</v>
      </c>
      <c r="F452" s="2" t="s">
        <v>30</v>
      </c>
      <c r="G452" s="2" t="s">
        <v>41</v>
      </c>
      <c r="H452" s="15">
        <f t="shared" si="14"/>
        <v>7455</v>
      </c>
      <c r="I452" s="14">
        <f t="shared" si="15"/>
        <v>1.755770136599152</v>
      </c>
    </row>
    <row r="453" spans="1:9" x14ac:dyDescent="0.3">
      <c r="A453" s="2" t="s">
        <v>27</v>
      </c>
      <c r="B453" s="2" t="s">
        <v>28</v>
      </c>
      <c r="C453" s="2" t="s">
        <v>18</v>
      </c>
      <c r="D453" s="2">
        <v>8281</v>
      </c>
      <c r="E453" s="2">
        <v>10423</v>
      </c>
      <c r="F453" s="2" t="s">
        <v>12</v>
      </c>
      <c r="G453" s="2" t="s">
        <v>41</v>
      </c>
      <c r="H453" s="15">
        <f t="shared" si="14"/>
        <v>2142</v>
      </c>
      <c r="I453" s="14">
        <f t="shared" si="15"/>
        <v>0.25866441251056638</v>
      </c>
    </row>
    <row r="454" spans="1:9" x14ac:dyDescent="0.3">
      <c r="A454" s="2" t="s">
        <v>13</v>
      </c>
      <c r="B454" s="2" t="s">
        <v>7</v>
      </c>
      <c r="C454" s="2" t="s">
        <v>14</v>
      </c>
      <c r="D454" s="2">
        <v>3380</v>
      </c>
      <c r="E454" s="2">
        <v>11796</v>
      </c>
      <c r="F454" s="2" t="s">
        <v>12</v>
      </c>
      <c r="G454" s="2" t="s">
        <v>41</v>
      </c>
      <c r="H454" s="15">
        <f t="shared" si="14"/>
        <v>8416</v>
      </c>
      <c r="I454" s="14">
        <f t="shared" si="15"/>
        <v>2.489940828402367</v>
      </c>
    </row>
    <row r="455" spans="1:9" x14ac:dyDescent="0.3">
      <c r="A455" s="2" t="s">
        <v>6</v>
      </c>
      <c r="B455" s="2" t="s">
        <v>28</v>
      </c>
      <c r="C455" s="2" t="s">
        <v>11</v>
      </c>
      <c r="D455" s="2">
        <v>7645</v>
      </c>
      <c r="E455" s="2">
        <v>1301</v>
      </c>
      <c r="F455" s="2" t="s">
        <v>19</v>
      </c>
      <c r="G455" s="2" t="s">
        <v>42</v>
      </c>
      <c r="H455" s="15">
        <f t="shared" si="14"/>
        <v>-6344</v>
      </c>
      <c r="I455" s="14">
        <f t="shared" si="15"/>
        <v>-0.82982341399607584</v>
      </c>
    </row>
    <row r="456" spans="1:9" x14ac:dyDescent="0.3">
      <c r="A456" s="2" t="s">
        <v>16</v>
      </c>
      <c r="B456" s="2" t="s">
        <v>31</v>
      </c>
      <c r="C456" s="2" t="s">
        <v>21</v>
      </c>
      <c r="D456" s="2">
        <v>7758</v>
      </c>
      <c r="E456" s="2">
        <v>1404</v>
      </c>
      <c r="F456" s="2" t="s">
        <v>36</v>
      </c>
      <c r="G456" s="2" t="s">
        <v>42</v>
      </c>
      <c r="H456" s="15">
        <f t="shared" si="14"/>
        <v>-6354</v>
      </c>
      <c r="I456" s="14">
        <f t="shared" si="15"/>
        <v>-0.81902552204176338</v>
      </c>
    </row>
    <row r="457" spans="1:9" x14ac:dyDescent="0.3">
      <c r="A457" s="2" t="s">
        <v>9</v>
      </c>
      <c r="B457" s="2" t="s">
        <v>10</v>
      </c>
      <c r="C457" s="2" t="s">
        <v>21</v>
      </c>
      <c r="D457" s="2">
        <v>3058</v>
      </c>
      <c r="E457" s="2">
        <v>4818</v>
      </c>
      <c r="F457" s="2" t="s">
        <v>12</v>
      </c>
      <c r="G457" s="2" t="s">
        <v>41</v>
      </c>
      <c r="H457" s="15">
        <f t="shared" si="14"/>
        <v>1760</v>
      </c>
      <c r="I457" s="14">
        <f t="shared" si="15"/>
        <v>0.57553956834532372</v>
      </c>
    </row>
    <row r="458" spans="1:9" x14ac:dyDescent="0.3">
      <c r="A458" s="2" t="s">
        <v>6</v>
      </c>
      <c r="B458" s="2" t="s">
        <v>10</v>
      </c>
      <c r="C458" s="2" t="s">
        <v>8</v>
      </c>
      <c r="D458" s="2">
        <v>5798</v>
      </c>
      <c r="E458" s="2">
        <v>1833</v>
      </c>
      <c r="F458" s="2" t="s">
        <v>36</v>
      </c>
      <c r="G458" s="2" t="s">
        <v>42</v>
      </c>
      <c r="H458" s="15">
        <f t="shared" si="14"/>
        <v>-3965</v>
      </c>
      <c r="I458" s="14">
        <f t="shared" si="15"/>
        <v>-0.68385650224215244</v>
      </c>
    </row>
    <row r="459" spans="1:9" x14ac:dyDescent="0.3">
      <c r="A459" s="2" t="s">
        <v>33</v>
      </c>
      <c r="B459" s="2" t="s">
        <v>31</v>
      </c>
      <c r="C459" s="2" t="s">
        <v>20</v>
      </c>
      <c r="D459" s="2">
        <v>5827</v>
      </c>
      <c r="E459" s="2">
        <v>3418</v>
      </c>
      <c r="F459" s="2" t="s">
        <v>19</v>
      </c>
      <c r="G459" s="2" t="s">
        <v>42</v>
      </c>
      <c r="H459" s="15">
        <f t="shared" si="14"/>
        <v>-2409</v>
      </c>
      <c r="I459" s="14">
        <f t="shared" si="15"/>
        <v>-0.41342028488072763</v>
      </c>
    </row>
    <row r="460" spans="1:9" x14ac:dyDescent="0.3">
      <c r="A460" s="2" t="s">
        <v>6</v>
      </c>
      <c r="B460" s="2" t="s">
        <v>28</v>
      </c>
      <c r="C460" s="2" t="s">
        <v>20</v>
      </c>
      <c r="D460" s="2">
        <v>1353</v>
      </c>
      <c r="E460" s="2">
        <v>5797</v>
      </c>
      <c r="F460" s="2" t="s">
        <v>30</v>
      </c>
      <c r="G460" s="2" t="s">
        <v>41</v>
      </c>
      <c r="H460" s="15">
        <f t="shared" si="14"/>
        <v>4444</v>
      </c>
      <c r="I460" s="14">
        <f t="shared" si="15"/>
        <v>3.2845528455284554</v>
      </c>
    </row>
    <row r="461" spans="1:9" x14ac:dyDescent="0.3">
      <c r="A461" s="2" t="s">
        <v>33</v>
      </c>
      <c r="B461" s="2" t="s">
        <v>7</v>
      </c>
      <c r="C461" s="2" t="s">
        <v>32</v>
      </c>
      <c r="D461" s="2">
        <v>7071</v>
      </c>
      <c r="E461" s="2">
        <v>4164</v>
      </c>
      <c r="F461" s="2" t="s">
        <v>30</v>
      </c>
      <c r="G461" s="2" t="s">
        <v>42</v>
      </c>
      <c r="H461" s="15">
        <f t="shared" si="14"/>
        <v>-2907</v>
      </c>
      <c r="I461" s="14">
        <f t="shared" si="15"/>
        <v>-0.41111582520152734</v>
      </c>
    </row>
    <row r="462" spans="1:9" x14ac:dyDescent="0.3">
      <c r="A462" s="2" t="s">
        <v>13</v>
      </c>
      <c r="B462" s="2" t="s">
        <v>25</v>
      </c>
      <c r="C462" s="2" t="s">
        <v>34</v>
      </c>
      <c r="D462" s="2">
        <v>6269</v>
      </c>
      <c r="E462" s="2">
        <v>2736</v>
      </c>
      <c r="F462" s="2" t="s">
        <v>19</v>
      </c>
      <c r="G462" s="2" t="s">
        <v>42</v>
      </c>
      <c r="H462" s="15">
        <f t="shared" si="14"/>
        <v>-3533</v>
      </c>
      <c r="I462" s="14">
        <f t="shared" si="15"/>
        <v>-0.56356675705854198</v>
      </c>
    </row>
    <row r="463" spans="1:9" x14ac:dyDescent="0.3">
      <c r="A463" s="2" t="s">
        <v>9</v>
      </c>
      <c r="B463" s="2" t="s">
        <v>23</v>
      </c>
      <c r="C463" s="2" t="s">
        <v>8</v>
      </c>
      <c r="D463" s="2">
        <v>8006</v>
      </c>
      <c r="E463" s="2">
        <v>2783</v>
      </c>
      <c r="F463" s="2" t="s">
        <v>15</v>
      </c>
      <c r="G463" s="2" t="s">
        <v>42</v>
      </c>
      <c r="H463" s="15">
        <f t="shared" si="14"/>
        <v>-5223</v>
      </c>
      <c r="I463" s="14">
        <f t="shared" si="15"/>
        <v>-0.65238571071696227</v>
      </c>
    </row>
    <row r="464" spans="1:9" x14ac:dyDescent="0.3">
      <c r="A464" s="2" t="s">
        <v>9</v>
      </c>
      <c r="B464" s="2" t="s">
        <v>25</v>
      </c>
      <c r="C464" s="2" t="s">
        <v>26</v>
      </c>
      <c r="D464" s="2">
        <v>6914</v>
      </c>
      <c r="E464" s="2">
        <v>6681</v>
      </c>
      <c r="F464" s="2" t="s">
        <v>30</v>
      </c>
      <c r="G464" s="2" t="s">
        <v>42</v>
      </c>
      <c r="H464" s="15">
        <f t="shared" si="14"/>
        <v>-233</v>
      </c>
      <c r="I464" s="14">
        <f t="shared" si="15"/>
        <v>-3.3699739658663581E-2</v>
      </c>
    </row>
    <row r="465" spans="1:9" x14ac:dyDescent="0.3">
      <c r="A465" s="2" t="s">
        <v>9</v>
      </c>
      <c r="B465" s="2" t="s">
        <v>25</v>
      </c>
      <c r="C465" s="2" t="s">
        <v>24</v>
      </c>
      <c r="D465" s="2">
        <v>1957</v>
      </c>
      <c r="E465" s="2">
        <v>4990</v>
      </c>
      <c r="F465" s="2" t="s">
        <v>30</v>
      </c>
      <c r="G465" s="2" t="s">
        <v>41</v>
      </c>
      <c r="H465" s="15">
        <f t="shared" si="14"/>
        <v>3033</v>
      </c>
      <c r="I465" s="14">
        <f t="shared" si="15"/>
        <v>1.5498211548288197</v>
      </c>
    </row>
    <row r="466" spans="1:9" x14ac:dyDescent="0.3">
      <c r="A466" s="2" t="s">
        <v>6</v>
      </c>
      <c r="B466" s="2" t="s">
        <v>31</v>
      </c>
      <c r="C466" s="2" t="s">
        <v>26</v>
      </c>
      <c r="D466" s="2">
        <v>6803</v>
      </c>
      <c r="E466" s="2">
        <v>1195</v>
      </c>
      <c r="F466" s="2" t="s">
        <v>15</v>
      </c>
      <c r="G466" s="2" t="s">
        <v>42</v>
      </c>
      <c r="H466" s="15">
        <f t="shared" si="14"/>
        <v>-5608</v>
      </c>
      <c r="I466" s="14">
        <f t="shared" si="15"/>
        <v>-0.82434220196971919</v>
      </c>
    </row>
    <row r="467" spans="1:9" x14ac:dyDescent="0.3">
      <c r="A467" s="2" t="s">
        <v>22</v>
      </c>
      <c r="B467" s="2" t="s">
        <v>7</v>
      </c>
      <c r="C467" s="2" t="s">
        <v>26</v>
      </c>
      <c r="D467" s="2">
        <v>8063</v>
      </c>
      <c r="E467" s="2">
        <v>9253</v>
      </c>
      <c r="F467" s="2" t="s">
        <v>30</v>
      </c>
      <c r="G467" s="2" t="s">
        <v>41</v>
      </c>
      <c r="H467" s="15">
        <f t="shared" si="14"/>
        <v>1190</v>
      </c>
      <c r="I467" s="14">
        <f t="shared" si="15"/>
        <v>0.14758774649634132</v>
      </c>
    </row>
    <row r="468" spans="1:9" x14ac:dyDescent="0.3">
      <c r="A468" s="2" t="s">
        <v>6</v>
      </c>
      <c r="B468" s="2" t="s">
        <v>23</v>
      </c>
      <c r="C468" s="2" t="s">
        <v>17</v>
      </c>
      <c r="D468" s="2">
        <v>1143</v>
      </c>
      <c r="E468" s="2">
        <v>10601</v>
      </c>
      <c r="F468" s="2" t="s">
        <v>19</v>
      </c>
      <c r="G468" s="2" t="s">
        <v>41</v>
      </c>
      <c r="H468" s="15">
        <f t="shared" si="14"/>
        <v>9458</v>
      </c>
      <c r="I468" s="14">
        <f t="shared" si="15"/>
        <v>8.2747156605424319</v>
      </c>
    </row>
    <row r="469" spans="1:9" x14ac:dyDescent="0.3">
      <c r="A469" s="2" t="s">
        <v>27</v>
      </c>
      <c r="B469" s="2" t="s">
        <v>25</v>
      </c>
      <c r="C469" s="2" t="s">
        <v>24</v>
      </c>
      <c r="D469" s="2">
        <v>7332</v>
      </c>
      <c r="E469" s="2">
        <v>8355</v>
      </c>
      <c r="F469" s="2" t="s">
        <v>19</v>
      </c>
      <c r="G469" s="2" t="s">
        <v>41</v>
      </c>
      <c r="H469" s="15">
        <f t="shared" si="14"/>
        <v>1023</v>
      </c>
      <c r="I469" s="14">
        <f t="shared" si="15"/>
        <v>0.13952536824877251</v>
      </c>
    </row>
    <row r="470" spans="1:9" x14ac:dyDescent="0.3">
      <c r="A470" s="2" t="s">
        <v>6</v>
      </c>
      <c r="B470" s="2" t="s">
        <v>23</v>
      </c>
      <c r="C470" s="2" t="s">
        <v>34</v>
      </c>
      <c r="D470" s="2">
        <v>7955</v>
      </c>
      <c r="E470" s="2">
        <v>1038</v>
      </c>
      <c r="F470" s="2" t="s">
        <v>15</v>
      </c>
      <c r="G470" s="2" t="s">
        <v>42</v>
      </c>
      <c r="H470" s="15">
        <f t="shared" si="14"/>
        <v>-6917</v>
      </c>
      <c r="I470" s="14">
        <f t="shared" si="15"/>
        <v>-0.86951602765556257</v>
      </c>
    </row>
    <row r="471" spans="1:9" x14ac:dyDescent="0.3">
      <c r="A471" s="2" t="s">
        <v>13</v>
      </c>
      <c r="B471" s="2" t="s">
        <v>28</v>
      </c>
      <c r="C471" s="2" t="s">
        <v>26</v>
      </c>
      <c r="D471" s="2">
        <v>7477</v>
      </c>
      <c r="E471" s="2">
        <v>2714</v>
      </c>
      <c r="F471" s="2" t="s">
        <v>36</v>
      </c>
      <c r="G471" s="2" t="s">
        <v>42</v>
      </c>
      <c r="H471" s="15">
        <f t="shared" si="14"/>
        <v>-4763</v>
      </c>
      <c r="I471" s="14">
        <f t="shared" si="15"/>
        <v>-0.63702019526548082</v>
      </c>
    </row>
    <row r="472" spans="1:9" x14ac:dyDescent="0.3">
      <c r="A472" s="2" t="s">
        <v>33</v>
      </c>
      <c r="B472" s="2" t="s">
        <v>10</v>
      </c>
      <c r="C472" s="2" t="s">
        <v>17</v>
      </c>
      <c r="D472" s="2">
        <v>1696</v>
      </c>
      <c r="E472" s="2">
        <v>6119</v>
      </c>
      <c r="F472" s="2" t="s">
        <v>15</v>
      </c>
      <c r="G472" s="2" t="s">
        <v>41</v>
      </c>
      <c r="H472" s="15">
        <f t="shared" si="14"/>
        <v>4423</v>
      </c>
      <c r="I472" s="14">
        <f t="shared" si="15"/>
        <v>2.6079009433962264</v>
      </c>
    </row>
    <row r="473" spans="1:9" x14ac:dyDescent="0.3">
      <c r="A473" s="2" t="s">
        <v>16</v>
      </c>
      <c r="B473" s="2" t="s">
        <v>7</v>
      </c>
      <c r="C473" s="2" t="s">
        <v>32</v>
      </c>
      <c r="D473" s="2">
        <v>6900</v>
      </c>
      <c r="E473" s="2">
        <v>8010</v>
      </c>
      <c r="F473" s="2" t="s">
        <v>19</v>
      </c>
      <c r="G473" s="2" t="s">
        <v>41</v>
      </c>
      <c r="H473" s="15">
        <f t="shared" si="14"/>
        <v>1110</v>
      </c>
      <c r="I473" s="14">
        <f t="shared" si="15"/>
        <v>0.16086956521739129</v>
      </c>
    </row>
    <row r="474" spans="1:9" x14ac:dyDescent="0.3">
      <c r="A474" s="2" t="s">
        <v>16</v>
      </c>
      <c r="B474" s="2" t="s">
        <v>10</v>
      </c>
      <c r="C474" s="2" t="s">
        <v>14</v>
      </c>
      <c r="D474" s="2">
        <v>6130</v>
      </c>
      <c r="E474" s="2">
        <v>11438</v>
      </c>
      <c r="F474" s="2" t="s">
        <v>30</v>
      </c>
      <c r="G474" s="2" t="s">
        <v>41</v>
      </c>
      <c r="H474" s="15">
        <f t="shared" si="14"/>
        <v>5308</v>
      </c>
      <c r="I474" s="14">
        <f t="shared" si="15"/>
        <v>0.86590538336052203</v>
      </c>
    </row>
    <row r="475" spans="1:9" x14ac:dyDescent="0.3">
      <c r="A475" s="2" t="s">
        <v>33</v>
      </c>
      <c r="B475" s="2" t="s">
        <v>23</v>
      </c>
      <c r="C475" s="2" t="s">
        <v>14</v>
      </c>
      <c r="D475" s="2">
        <v>8178</v>
      </c>
      <c r="E475" s="2">
        <v>9511</v>
      </c>
      <c r="F475" s="2" t="s">
        <v>15</v>
      </c>
      <c r="G475" s="2" t="s">
        <v>41</v>
      </c>
      <c r="H475" s="15">
        <f t="shared" si="14"/>
        <v>1333</v>
      </c>
      <c r="I475" s="14">
        <f t="shared" si="15"/>
        <v>0.16299828808999756</v>
      </c>
    </row>
    <row r="476" spans="1:9" x14ac:dyDescent="0.3">
      <c r="A476" s="2" t="s">
        <v>27</v>
      </c>
      <c r="B476" s="2" t="s">
        <v>35</v>
      </c>
      <c r="C476" s="2" t="s">
        <v>8</v>
      </c>
      <c r="D476" s="2">
        <v>3994</v>
      </c>
      <c r="E476" s="2">
        <v>1829</v>
      </c>
      <c r="F476" s="2" t="s">
        <v>12</v>
      </c>
      <c r="G476" s="2" t="s">
        <v>42</v>
      </c>
      <c r="H476" s="15">
        <f t="shared" si="14"/>
        <v>-2165</v>
      </c>
      <c r="I476" s="14">
        <f t="shared" si="15"/>
        <v>-0.54206309464196289</v>
      </c>
    </row>
    <row r="477" spans="1:9" x14ac:dyDescent="0.3">
      <c r="A477" s="2" t="s">
        <v>13</v>
      </c>
      <c r="B477" s="2" t="s">
        <v>35</v>
      </c>
      <c r="C477" s="2" t="s">
        <v>32</v>
      </c>
      <c r="D477" s="2">
        <v>3737</v>
      </c>
      <c r="E477" s="2">
        <v>8005</v>
      </c>
      <c r="F477" s="2" t="s">
        <v>36</v>
      </c>
      <c r="G477" s="2" t="s">
        <v>41</v>
      </c>
      <c r="H477" s="15">
        <f t="shared" si="14"/>
        <v>4268</v>
      </c>
      <c r="I477" s="14">
        <f t="shared" si="15"/>
        <v>1.1420925876371422</v>
      </c>
    </row>
    <row r="478" spans="1:9" x14ac:dyDescent="0.3">
      <c r="A478" s="2" t="s">
        <v>13</v>
      </c>
      <c r="B478" s="2" t="s">
        <v>28</v>
      </c>
      <c r="C478" s="2" t="s">
        <v>8</v>
      </c>
      <c r="D478" s="2">
        <v>6107</v>
      </c>
      <c r="E478" s="2">
        <v>2584</v>
      </c>
      <c r="F478" s="2" t="s">
        <v>36</v>
      </c>
      <c r="G478" s="2" t="s">
        <v>42</v>
      </c>
      <c r="H478" s="15">
        <f t="shared" si="14"/>
        <v>-3523</v>
      </c>
      <c r="I478" s="14">
        <f t="shared" si="15"/>
        <v>-0.57687899132143439</v>
      </c>
    </row>
    <row r="479" spans="1:9" x14ac:dyDescent="0.3">
      <c r="A479" s="2" t="s">
        <v>13</v>
      </c>
      <c r="B479" s="2" t="s">
        <v>23</v>
      </c>
      <c r="C479" s="2" t="s">
        <v>17</v>
      </c>
      <c r="D479" s="2">
        <v>7651</v>
      </c>
      <c r="E479" s="2">
        <v>5056</v>
      </c>
      <c r="F479" s="2" t="s">
        <v>30</v>
      </c>
      <c r="G479" s="2" t="s">
        <v>42</v>
      </c>
      <c r="H479" s="15">
        <f t="shared" si="14"/>
        <v>-2595</v>
      </c>
      <c r="I479" s="14">
        <f t="shared" si="15"/>
        <v>-0.33917135015030714</v>
      </c>
    </row>
    <row r="480" spans="1:9" x14ac:dyDescent="0.3">
      <c r="A480" s="2" t="s">
        <v>6</v>
      </c>
      <c r="B480" s="2" t="s">
        <v>31</v>
      </c>
      <c r="C480" s="2" t="s">
        <v>14</v>
      </c>
      <c r="D480" s="2">
        <v>8276</v>
      </c>
      <c r="E480" s="2">
        <v>4762</v>
      </c>
      <c r="F480" s="2" t="s">
        <v>30</v>
      </c>
      <c r="G480" s="2" t="s">
        <v>42</v>
      </c>
      <c r="H480" s="15">
        <f t="shared" si="14"/>
        <v>-3514</v>
      </c>
      <c r="I480" s="14">
        <f t="shared" si="15"/>
        <v>-0.42460125664572257</v>
      </c>
    </row>
    <row r="481" spans="1:9" x14ac:dyDescent="0.3">
      <c r="A481" s="2" t="s">
        <v>16</v>
      </c>
      <c r="B481" s="2" t="s">
        <v>7</v>
      </c>
      <c r="C481" s="2" t="s">
        <v>20</v>
      </c>
      <c r="D481" s="2">
        <v>2705</v>
      </c>
      <c r="E481" s="2">
        <v>6795</v>
      </c>
      <c r="F481" s="2" t="s">
        <v>15</v>
      </c>
      <c r="G481" s="2" t="s">
        <v>41</v>
      </c>
      <c r="H481" s="15">
        <f t="shared" si="14"/>
        <v>4090</v>
      </c>
      <c r="I481" s="14">
        <f t="shared" si="15"/>
        <v>1.512014787430684</v>
      </c>
    </row>
    <row r="482" spans="1:9" x14ac:dyDescent="0.3">
      <c r="A482" s="2" t="s">
        <v>27</v>
      </c>
      <c r="B482" s="2" t="s">
        <v>10</v>
      </c>
      <c r="C482" s="2" t="s">
        <v>14</v>
      </c>
      <c r="D482" s="2">
        <v>1579</v>
      </c>
      <c r="E482" s="2">
        <v>5194</v>
      </c>
      <c r="F482" s="2" t="s">
        <v>30</v>
      </c>
      <c r="G482" s="2" t="s">
        <v>41</v>
      </c>
      <c r="H482" s="15">
        <f t="shared" si="14"/>
        <v>3615</v>
      </c>
      <c r="I482" s="14">
        <f t="shared" si="15"/>
        <v>2.2894236858771375</v>
      </c>
    </row>
    <row r="483" spans="1:9" x14ac:dyDescent="0.3">
      <c r="A483" s="2" t="s">
        <v>6</v>
      </c>
      <c r="B483" s="2" t="s">
        <v>25</v>
      </c>
      <c r="C483" s="2" t="s">
        <v>26</v>
      </c>
      <c r="D483" s="2">
        <v>7507</v>
      </c>
      <c r="E483" s="2">
        <v>8572</v>
      </c>
      <c r="F483" s="2" t="s">
        <v>19</v>
      </c>
      <c r="G483" s="2" t="s">
        <v>41</v>
      </c>
      <c r="H483" s="15">
        <f t="shared" si="14"/>
        <v>1065</v>
      </c>
      <c r="I483" s="14">
        <f t="shared" si="15"/>
        <v>0.14186759024910084</v>
      </c>
    </row>
    <row r="484" spans="1:9" x14ac:dyDescent="0.3">
      <c r="A484" s="2" t="s">
        <v>33</v>
      </c>
      <c r="B484" s="2" t="s">
        <v>7</v>
      </c>
      <c r="C484" s="2" t="s">
        <v>20</v>
      </c>
      <c r="D484" s="2">
        <v>1308</v>
      </c>
      <c r="E484" s="2">
        <v>5012</v>
      </c>
      <c r="F484" s="2" t="s">
        <v>30</v>
      </c>
      <c r="G484" s="2" t="s">
        <v>41</v>
      </c>
      <c r="H484" s="15">
        <f t="shared" si="14"/>
        <v>3704</v>
      </c>
      <c r="I484" s="14">
        <f t="shared" si="15"/>
        <v>2.8318042813455659</v>
      </c>
    </row>
    <row r="485" spans="1:9" x14ac:dyDescent="0.3">
      <c r="A485" s="2" t="s">
        <v>9</v>
      </c>
      <c r="B485" s="2" t="s">
        <v>31</v>
      </c>
      <c r="C485" s="2" t="s">
        <v>29</v>
      </c>
      <c r="D485" s="2">
        <v>5888</v>
      </c>
      <c r="E485" s="2">
        <v>4554</v>
      </c>
      <c r="F485" s="2" t="s">
        <v>36</v>
      </c>
      <c r="G485" s="2" t="s">
        <v>42</v>
      </c>
      <c r="H485" s="15">
        <f t="shared" si="14"/>
        <v>-1334</v>
      </c>
      <c r="I485" s="14">
        <f t="shared" si="15"/>
        <v>-0.2265625</v>
      </c>
    </row>
    <row r="486" spans="1:9" x14ac:dyDescent="0.3">
      <c r="A486" s="2" t="s">
        <v>13</v>
      </c>
      <c r="B486" s="2" t="s">
        <v>28</v>
      </c>
      <c r="C486" s="2" t="s">
        <v>24</v>
      </c>
      <c r="D486" s="2">
        <v>2573</v>
      </c>
      <c r="E486" s="2">
        <v>4130</v>
      </c>
      <c r="F486" s="2" t="s">
        <v>30</v>
      </c>
      <c r="G486" s="2" t="s">
        <v>41</v>
      </c>
      <c r="H486" s="15">
        <f t="shared" si="14"/>
        <v>1557</v>
      </c>
      <c r="I486" s="14">
        <f t="shared" si="15"/>
        <v>0.60513019821220371</v>
      </c>
    </row>
    <row r="487" spans="1:9" x14ac:dyDescent="0.3">
      <c r="A487" s="2" t="s">
        <v>33</v>
      </c>
      <c r="B487" s="2" t="s">
        <v>35</v>
      </c>
      <c r="C487" s="2" t="s">
        <v>21</v>
      </c>
      <c r="D487" s="2">
        <v>9654</v>
      </c>
      <c r="E487" s="2">
        <v>5760</v>
      </c>
      <c r="F487" s="2" t="s">
        <v>30</v>
      </c>
      <c r="G487" s="2" t="s">
        <v>42</v>
      </c>
      <c r="H487" s="15">
        <f t="shared" si="14"/>
        <v>-3894</v>
      </c>
      <c r="I487" s="14">
        <f t="shared" si="15"/>
        <v>-0.4033561218147918</v>
      </c>
    </row>
    <row r="488" spans="1:9" x14ac:dyDescent="0.3">
      <c r="A488" s="2" t="s">
        <v>22</v>
      </c>
      <c r="B488" s="2" t="s">
        <v>25</v>
      </c>
      <c r="C488" s="2" t="s">
        <v>11</v>
      </c>
      <c r="D488" s="2">
        <v>8458</v>
      </c>
      <c r="E488" s="2">
        <v>4565</v>
      </c>
      <c r="F488" s="2" t="s">
        <v>15</v>
      </c>
      <c r="G488" s="2" t="s">
        <v>42</v>
      </c>
      <c r="H488" s="15">
        <f t="shared" si="14"/>
        <v>-3893</v>
      </c>
      <c r="I488" s="14">
        <f t="shared" si="15"/>
        <v>-0.46027429652400093</v>
      </c>
    </row>
    <row r="489" spans="1:9" x14ac:dyDescent="0.3">
      <c r="A489" s="2" t="s">
        <v>16</v>
      </c>
      <c r="B489" s="2" t="s">
        <v>10</v>
      </c>
      <c r="C489" s="2" t="s">
        <v>21</v>
      </c>
      <c r="D489" s="2">
        <v>6875</v>
      </c>
      <c r="E489" s="2">
        <v>3905</v>
      </c>
      <c r="F489" s="2" t="s">
        <v>36</v>
      </c>
      <c r="G489" s="2" t="s">
        <v>42</v>
      </c>
      <c r="H489" s="15">
        <f t="shared" si="14"/>
        <v>-2970</v>
      </c>
      <c r="I489" s="14">
        <f t="shared" si="15"/>
        <v>-0.432</v>
      </c>
    </row>
    <row r="490" spans="1:9" x14ac:dyDescent="0.3">
      <c r="A490" s="2" t="s">
        <v>27</v>
      </c>
      <c r="B490" s="2" t="s">
        <v>7</v>
      </c>
      <c r="C490" s="2" t="s">
        <v>29</v>
      </c>
      <c r="D490" s="2">
        <v>8199</v>
      </c>
      <c r="E490" s="2">
        <v>2334</v>
      </c>
      <c r="F490" s="2" t="s">
        <v>15</v>
      </c>
      <c r="G490" s="2" t="s">
        <v>42</v>
      </c>
      <c r="H490" s="15">
        <f t="shared" si="14"/>
        <v>-5865</v>
      </c>
      <c r="I490" s="14">
        <f t="shared" si="15"/>
        <v>-0.71533113794365166</v>
      </c>
    </row>
    <row r="491" spans="1:9" x14ac:dyDescent="0.3">
      <c r="A491" s="2" t="s">
        <v>33</v>
      </c>
      <c r="B491" s="2" t="s">
        <v>28</v>
      </c>
      <c r="C491" s="2" t="s">
        <v>34</v>
      </c>
      <c r="D491" s="2">
        <v>3506</v>
      </c>
      <c r="E491" s="2">
        <v>10767</v>
      </c>
      <c r="F491" s="2" t="s">
        <v>19</v>
      </c>
      <c r="G491" s="2" t="s">
        <v>41</v>
      </c>
      <c r="H491" s="15">
        <f t="shared" si="14"/>
        <v>7261</v>
      </c>
      <c r="I491" s="14">
        <f t="shared" si="15"/>
        <v>2.0710211066742725</v>
      </c>
    </row>
    <row r="492" spans="1:9" x14ac:dyDescent="0.3">
      <c r="A492" s="2" t="s">
        <v>27</v>
      </c>
      <c r="B492" s="2" t="s">
        <v>25</v>
      </c>
      <c r="C492" s="2" t="s">
        <v>26</v>
      </c>
      <c r="D492" s="2">
        <v>8504</v>
      </c>
      <c r="E492" s="2">
        <v>7247</v>
      </c>
      <c r="F492" s="2" t="s">
        <v>36</v>
      </c>
      <c r="G492" s="2" t="s">
        <v>42</v>
      </c>
      <c r="H492" s="15">
        <f t="shared" si="14"/>
        <v>-1257</v>
      </c>
      <c r="I492" s="14">
        <f t="shared" si="15"/>
        <v>-0.14781279397930386</v>
      </c>
    </row>
    <row r="493" spans="1:9" x14ac:dyDescent="0.3">
      <c r="A493" s="2" t="s">
        <v>22</v>
      </c>
      <c r="B493" s="2" t="s">
        <v>10</v>
      </c>
      <c r="C493" s="2" t="s">
        <v>20</v>
      </c>
      <c r="D493" s="2">
        <v>4924</v>
      </c>
      <c r="E493" s="2">
        <v>2580</v>
      </c>
      <c r="F493" s="2" t="s">
        <v>12</v>
      </c>
      <c r="G493" s="2" t="s">
        <v>42</v>
      </c>
      <c r="H493" s="15">
        <f t="shared" si="14"/>
        <v>-2344</v>
      </c>
      <c r="I493" s="14">
        <f t="shared" si="15"/>
        <v>-0.47603574329813159</v>
      </c>
    </row>
    <row r="494" spans="1:9" x14ac:dyDescent="0.3">
      <c r="A494" s="2" t="s">
        <v>9</v>
      </c>
      <c r="B494" s="2" t="s">
        <v>10</v>
      </c>
      <c r="C494" s="2" t="s">
        <v>14</v>
      </c>
      <c r="D494" s="2">
        <v>8293</v>
      </c>
      <c r="E494" s="2">
        <v>8071</v>
      </c>
      <c r="F494" s="2" t="s">
        <v>19</v>
      </c>
      <c r="G494" s="2" t="s">
        <v>42</v>
      </c>
      <c r="H494" s="15">
        <f t="shared" si="14"/>
        <v>-222</v>
      </c>
      <c r="I494" s="14">
        <f t="shared" si="15"/>
        <v>-2.6769564693114676E-2</v>
      </c>
    </row>
    <row r="495" spans="1:9" x14ac:dyDescent="0.3">
      <c r="A495" s="2" t="s">
        <v>16</v>
      </c>
      <c r="B495" s="2" t="s">
        <v>7</v>
      </c>
      <c r="C495" s="2" t="s">
        <v>17</v>
      </c>
      <c r="D495" s="2">
        <v>2366</v>
      </c>
      <c r="E495" s="2">
        <v>8083</v>
      </c>
      <c r="F495" s="2" t="s">
        <v>19</v>
      </c>
      <c r="G495" s="2" t="s">
        <v>41</v>
      </c>
      <c r="H495" s="15">
        <f t="shared" si="14"/>
        <v>5717</v>
      </c>
      <c r="I495" s="14">
        <f t="shared" si="15"/>
        <v>2.4163144547759932</v>
      </c>
    </row>
    <row r="496" spans="1:9" x14ac:dyDescent="0.3">
      <c r="A496" s="2" t="s">
        <v>27</v>
      </c>
      <c r="B496" s="2" t="s">
        <v>7</v>
      </c>
      <c r="C496" s="2" t="s">
        <v>11</v>
      </c>
      <c r="D496" s="2">
        <v>1055</v>
      </c>
      <c r="E496" s="2">
        <v>7854</v>
      </c>
      <c r="F496" s="2" t="s">
        <v>15</v>
      </c>
      <c r="G496" s="2" t="s">
        <v>41</v>
      </c>
      <c r="H496" s="15">
        <f t="shared" si="14"/>
        <v>6799</v>
      </c>
      <c r="I496" s="14">
        <f t="shared" si="15"/>
        <v>6.4445497630331756</v>
      </c>
    </row>
    <row r="497" spans="1:9" x14ac:dyDescent="0.3">
      <c r="A497" s="2" t="s">
        <v>27</v>
      </c>
      <c r="B497" s="2" t="s">
        <v>10</v>
      </c>
      <c r="C497" s="2" t="s">
        <v>11</v>
      </c>
      <c r="D497" s="2">
        <v>5784</v>
      </c>
      <c r="E497" s="2">
        <v>11503</v>
      </c>
      <c r="F497" s="2" t="s">
        <v>36</v>
      </c>
      <c r="G497" s="2" t="s">
        <v>41</v>
      </c>
      <c r="H497" s="15">
        <f t="shared" si="14"/>
        <v>5719</v>
      </c>
      <c r="I497" s="14">
        <f t="shared" si="15"/>
        <v>0.98876210235131401</v>
      </c>
    </row>
    <row r="498" spans="1:9" x14ac:dyDescent="0.3">
      <c r="A498" s="2" t="s">
        <v>27</v>
      </c>
      <c r="B498" s="2" t="s">
        <v>28</v>
      </c>
      <c r="C498" s="2" t="s">
        <v>29</v>
      </c>
      <c r="D498" s="2">
        <v>8638</v>
      </c>
      <c r="E498" s="2">
        <v>7748</v>
      </c>
      <c r="F498" s="2" t="s">
        <v>15</v>
      </c>
      <c r="G498" s="2" t="s">
        <v>42</v>
      </c>
      <c r="H498" s="15">
        <f t="shared" si="14"/>
        <v>-890</v>
      </c>
      <c r="I498" s="14">
        <f t="shared" si="15"/>
        <v>-0.10303310951609168</v>
      </c>
    </row>
    <row r="499" spans="1:9" x14ac:dyDescent="0.3">
      <c r="A499" s="2" t="s">
        <v>6</v>
      </c>
      <c r="B499" s="2" t="s">
        <v>23</v>
      </c>
      <c r="C499" s="2" t="s">
        <v>34</v>
      </c>
      <c r="D499" s="2">
        <v>5719</v>
      </c>
      <c r="E499" s="2">
        <v>2390</v>
      </c>
      <c r="F499" s="2" t="s">
        <v>12</v>
      </c>
      <c r="G499" s="2" t="s">
        <v>42</v>
      </c>
      <c r="H499" s="15">
        <f t="shared" si="14"/>
        <v>-3329</v>
      </c>
      <c r="I499" s="14">
        <f t="shared" si="15"/>
        <v>-0.58209477181325409</v>
      </c>
    </row>
    <row r="500" spans="1:9" x14ac:dyDescent="0.3">
      <c r="A500" s="2" t="s">
        <v>16</v>
      </c>
      <c r="B500" s="2" t="s">
        <v>28</v>
      </c>
      <c r="C500" s="2" t="s">
        <v>18</v>
      </c>
      <c r="D500" s="2">
        <v>8122</v>
      </c>
      <c r="E500" s="2">
        <v>4536</v>
      </c>
      <c r="F500" s="2" t="s">
        <v>19</v>
      </c>
      <c r="G500" s="2" t="s">
        <v>42</v>
      </c>
      <c r="H500" s="15">
        <f t="shared" si="14"/>
        <v>-3586</v>
      </c>
      <c r="I500" s="14">
        <f t="shared" si="15"/>
        <v>-0.44151686776655996</v>
      </c>
    </row>
    <row r="501" spans="1:9" x14ac:dyDescent="0.3">
      <c r="A501" s="2" t="s">
        <v>6</v>
      </c>
      <c r="B501" s="2" t="s">
        <v>31</v>
      </c>
      <c r="C501" s="2" t="s">
        <v>21</v>
      </c>
      <c r="D501" s="2">
        <v>9498</v>
      </c>
      <c r="E501" s="2">
        <v>2157</v>
      </c>
      <c r="F501" s="2" t="s">
        <v>36</v>
      </c>
      <c r="G501" s="2" t="s">
        <v>42</v>
      </c>
      <c r="H501" s="15">
        <f t="shared" si="14"/>
        <v>-7341</v>
      </c>
      <c r="I501" s="14">
        <f t="shared" si="15"/>
        <v>-0.77289955780164243</v>
      </c>
    </row>
  </sheetData>
  <conditionalFormatting sqref="A2:I501">
    <cfRule type="expression" dxfId="0" priority="1">
      <formula>$I2&gt;=20%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</vt:lpstr>
      <vt:lpstr>Expense Data</vt:lpstr>
      <vt:lpstr>Pivot Table </vt:lpstr>
      <vt:lpstr>Overspend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2026-09-22T12:27:08Z</dcterms:created>
  <dcterms:modified xsi:type="dcterms:W3CDTF">2026-09-28T08:29:31Z</dcterms:modified>
</cp:coreProperties>
</file>